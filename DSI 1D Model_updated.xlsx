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oshthomas/Library/Containers/com.microsoft.Excel/Data/Documents/dsi_calc/"/>
    </mc:Choice>
  </mc:AlternateContent>
  <xr:revisionPtr revIDLastSave="0" documentId="13_ncr:1_{1CDE6AE7-B3EF-A940-80E2-55A145753EA9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1 Inputs" sheetId="1" r:id="rId1"/>
    <sheet name="2 Steam Properties" sheetId="2" r:id="rId2"/>
    <sheet name="3 Node Calculations" sheetId="3" r:id="rId3"/>
    <sheet name="4 Results" sheetId="4" r:id="rId4"/>
    <sheet name="5 Steam Sizing" sheetId="5" r:id="rId5"/>
    <sheet name="6 Document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B54" i="4"/>
  <c r="B51" i="4"/>
  <c r="B35" i="4"/>
  <c r="B37" i="4" s="1"/>
  <c r="A20" i="3"/>
  <c r="D19" i="3"/>
  <c r="G11" i="3"/>
  <c r="G9" i="3"/>
  <c r="G8" i="3"/>
  <c r="G10" i="3" s="1"/>
  <c r="G7" i="3"/>
  <c r="G14" i="3" s="1"/>
  <c r="B19" i="2"/>
  <c r="B6" i="2"/>
  <c r="B5" i="2"/>
  <c r="B12" i="1"/>
  <c r="B19" i="3" l="1"/>
  <c r="G12" i="3"/>
  <c r="E19" i="3"/>
  <c r="G13" i="3"/>
  <c r="A21" i="3"/>
  <c r="B20" i="3"/>
  <c r="C20" i="3" s="1"/>
  <c r="D20" i="3" s="1"/>
  <c r="B7" i="2"/>
  <c r="B20" i="2"/>
  <c r="B23" i="2" s="1"/>
  <c r="B8" i="2"/>
  <c r="B39" i="4"/>
  <c r="B9" i="2" l="1"/>
  <c r="B12" i="2" s="1"/>
  <c r="B30" i="4" s="1"/>
  <c r="B25" i="2"/>
  <c r="B14" i="2"/>
  <c r="B47" i="4" s="1"/>
  <c r="B21" i="3"/>
  <c r="C21" i="3" s="1"/>
  <c r="D21" i="3" s="1"/>
  <c r="A22" i="3"/>
  <c r="G19" i="3"/>
  <c r="B10" i="2"/>
  <c r="B26" i="4"/>
  <c r="J19" i="3"/>
  <c r="B24" i="2"/>
  <c r="B13" i="2"/>
  <c r="B13" i="5" s="1"/>
  <c r="B22" i="2"/>
  <c r="B11" i="2"/>
  <c r="E20" i="3"/>
  <c r="F19" i="3"/>
  <c r="H19" i="3" s="1"/>
  <c r="B21" i="2"/>
  <c r="B52" i="4" l="1"/>
  <c r="B49" i="4"/>
  <c r="B20" i="5"/>
  <c r="B48" i="4"/>
  <c r="B12" i="4"/>
  <c r="B50" i="4"/>
  <c r="J20" i="3"/>
  <c r="K19" i="3"/>
  <c r="L19" i="3" s="1"/>
  <c r="F20" i="3"/>
  <c r="E21" i="3"/>
  <c r="I19" i="3"/>
  <c r="G20" i="3"/>
  <c r="A23" i="3"/>
  <c r="B22" i="3"/>
  <c r="C22" i="3" s="1"/>
  <c r="D22" i="3" s="1"/>
  <c r="B11" i="5"/>
  <c r="B15" i="2"/>
  <c r="B10" i="5"/>
  <c r="B9" i="5"/>
  <c r="B14" i="5"/>
  <c r="B28" i="4"/>
  <c r="B15" i="5"/>
  <c r="B12" i="5"/>
  <c r="J21" i="3" l="1"/>
  <c r="M21" i="3" s="1"/>
  <c r="K20" i="3"/>
  <c r="L20" i="3" s="1"/>
  <c r="M20" i="3"/>
  <c r="B23" i="3"/>
  <c r="C23" i="3" s="1"/>
  <c r="D23" i="3" s="1"/>
  <c r="A24" i="3"/>
  <c r="G21" i="3"/>
  <c r="I20" i="3"/>
  <c r="E22" i="3"/>
  <c r="F21" i="3"/>
  <c r="H20" i="3"/>
  <c r="H21" i="3" l="1"/>
  <c r="B53" i="4"/>
  <c r="B21" i="5" s="1"/>
  <c r="B58" i="4"/>
  <c r="F22" i="3"/>
  <c r="E23" i="3"/>
  <c r="I21" i="3"/>
  <c r="G22" i="3"/>
  <c r="K21" i="3"/>
  <c r="L21" i="3" s="1"/>
  <c r="J22" i="3"/>
  <c r="B24" i="3"/>
  <c r="C24" i="3" s="1"/>
  <c r="D24" i="3" s="1"/>
  <c r="A25" i="3"/>
  <c r="B56" i="4" l="1"/>
  <c r="B55" i="4"/>
  <c r="H22" i="3"/>
  <c r="F23" i="3"/>
  <c r="E24" i="3"/>
  <c r="J23" i="3"/>
  <c r="M23" i="3" s="1"/>
  <c r="K22" i="3"/>
  <c r="L22" i="3" s="1"/>
  <c r="G23" i="3"/>
  <c r="I22" i="3"/>
  <c r="A26" i="3"/>
  <c r="B25" i="3"/>
  <c r="C25" i="3" s="1"/>
  <c r="D25" i="3" s="1"/>
  <c r="B57" i="4"/>
  <c r="B59" i="4"/>
  <c r="M22" i="3"/>
  <c r="J24" i="3" l="1"/>
  <c r="M24" i="3" s="1"/>
  <c r="K23" i="3"/>
  <c r="L23" i="3" s="1"/>
  <c r="E25" i="3"/>
  <c r="F24" i="3"/>
  <c r="I23" i="3"/>
  <c r="G24" i="3"/>
  <c r="H23" i="3"/>
  <c r="B26" i="3"/>
  <c r="C26" i="3" s="1"/>
  <c r="D26" i="3" s="1"/>
  <c r="A27" i="3"/>
  <c r="G25" i="3" l="1"/>
  <c r="I24" i="3"/>
  <c r="F25" i="3"/>
  <c r="H25" i="3" s="1"/>
  <c r="E26" i="3"/>
  <c r="H24" i="3"/>
  <c r="A28" i="3"/>
  <c r="B27" i="3"/>
  <c r="C27" i="3" s="1"/>
  <c r="D27" i="3" s="1"/>
  <c r="K24" i="3"/>
  <c r="L24" i="3" s="1"/>
  <c r="J25" i="3"/>
  <c r="A29" i="3" l="1"/>
  <c r="B28" i="3"/>
  <c r="C28" i="3" s="1"/>
  <c r="D28" i="3" s="1"/>
  <c r="E27" i="3"/>
  <c r="F26" i="3"/>
  <c r="H26" i="3" s="1"/>
  <c r="J26" i="3"/>
  <c r="M26" i="3" s="1"/>
  <c r="K25" i="3"/>
  <c r="L25" i="3" s="1"/>
  <c r="M25" i="3"/>
  <c r="G26" i="3"/>
  <c r="I25" i="3"/>
  <c r="K26" i="3" l="1"/>
  <c r="L26" i="3" s="1"/>
  <c r="J27" i="3"/>
  <c r="E28" i="3"/>
  <c r="F27" i="3"/>
  <c r="I26" i="3"/>
  <c r="G27" i="3"/>
  <c r="B29" i="3"/>
  <c r="C29" i="3" s="1"/>
  <c r="D29" i="3" s="1"/>
  <c r="A30" i="3"/>
  <c r="K27" i="3" l="1"/>
  <c r="L27" i="3" s="1"/>
  <c r="J28" i="3"/>
  <c r="M28" i="3"/>
  <c r="G28" i="3"/>
  <c r="I27" i="3"/>
  <c r="H27" i="3"/>
  <c r="F28" i="3"/>
  <c r="H28" i="3" s="1"/>
  <c r="E29" i="3"/>
  <c r="A31" i="3"/>
  <c r="B30" i="3"/>
  <c r="C30" i="3" s="1"/>
  <c r="D30" i="3" s="1"/>
  <c r="M27" i="3"/>
  <c r="I28" i="3" l="1"/>
  <c r="G29" i="3"/>
  <c r="J29" i="3"/>
  <c r="M29" i="3" s="1"/>
  <c r="K28" i="3"/>
  <c r="L28" i="3" s="1"/>
  <c r="B31" i="3"/>
  <c r="C31" i="3" s="1"/>
  <c r="D31" i="3" s="1"/>
  <c r="A32" i="3"/>
  <c r="E30" i="3"/>
  <c r="F29" i="3"/>
  <c r="B32" i="3" l="1"/>
  <c r="C32" i="3" s="1"/>
  <c r="D32" i="3" s="1"/>
  <c r="A33" i="3"/>
  <c r="K29" i="3"/>
  <c r="L29" i="3" s="1"/>
  <c r="J30" i="3"/>
  <c r="M30" i="3" s="1"/>
  <c r="I29" i="3"/>
  <c r="G30" i="3"/>
  <c r="H29" i="3"/>
  <c r="F30" i="3"/>
  <c r="E31" i="3"/>
  <c r="H30" i="3" l="1"/>
  <c r="G31" i="3"/>
  <c r="I30" i="3"/>
  <c r="J31" i="3"/>
  <c r="K30" i="3"/>
  <c r="L30" i="3" s="1"/>
  <c r="M31" i="3"/>
  <c r="E32" i="3"/>
  <c r="F31" i="3"/>
  <c r="A34" i="3"/>
  <c r="B33" i="3"/>
  <c r="C33" i="3" s="1"/>
  <c r="D33" i="3" s="1"/>
  <c r="J32" i="3" l="1"/>
  <c r="M32" i="3" s="1"/>
  <c r="K31" i="3"/>
  <c r="L31" i="3" s="1"/>
  <c r="E33" i="3"/>
  <c r="F32" i="3"/>
  <c r="I31" i="3"/>
  <c r="G32" i="3"/>
  <c r="B34" i="3"/>
  <c r="C34" i="3" s="1"/>
  <c r="D34" i="3" s="1"/>
  <c r="A35" i="3"/>
  <c r="H31" i="3"/>
  <c r="G33" i="3" l="1"/>
  <c r="I32" i="3"/>
  <c r="H32" i="3"/>
  <c r="F33" i="3"/>
  <c r="H33" i="3" s="1"/>
  <c r="E34" i="3"/>
  <c r="A36" i="3"/>
  <c r="B35" i="3"/>
  <c r="C35" i="3" s="1"/>
  <c r="D35" i="3" s="1"/>
  <c r="K32" i="3"/>
  <c r="L32" i="3" s="1"/>
  <c r="J33" i="3"/>
  <c r="A37" i="3" l="1"/>
  <c r="B36" i="3"/>
  <c r="C36" i="3" s="1"/>
  <c r="D36" i="3" s="1"/>
  <c r="E35" i="3"/>
  <c r="F34" i="3"/>
  <c r="H34" i="3" s="1"/>
  <c r="J34" i="3"/>
  <c r="K33" i="3"/>
  <c r="L33" i="3" s="1"/>
  <c r="M34" i="3"/>
  <c r="M33" i="3"/>
  <c r="G34" i="3"/>
  <c r="I33" i="3"/>
  <c r="K34" i="3" l="1"/>
  <c r="L34" i="3" s="1"/>
  <c r="J35" i="3"/>
  <c r="F35" i="3"/>
  <c r="E36" i="3"/>
  <c r="I34" i="3"/>
  <c r="G35" i="3"/>
  <c r="A38" i="3"/>
  <c r="B37" i="3"/>
  <c r="C37" i="3" s="1"/>
  <c r="D37" i="3" s="1"/>
  <c r="G36" i="3" l="1"/>
  <c r="I35" i="3"/>
  <c r="F36" i="3"/>
  <c r="H36" i="3" s="1"/>
  <c r="E37" i="3"/>
  <c r="K35" i="3"/>
  <c r="L35" i="3" s="1"/>
  <c r="J36" i="3"/>
  <c r="M36" i="3" s="1"/>
  <c r="H35" i="3"/>
  <c r="M35" i="3"/>
  <c r="B38" i="3"/>
  <c r="C38" i="3" s="1"/>
  <c r="D38" i="3" s="1"/>
  <c r="A39" i="3"/>
  <c r="J37" i="3" l="1"/>
  <c r="K36" i="3"/>
  <c r="L36" i="3" s="1"/>
  <c r="F37" i="3"/>
  <c r="E38" i="3"/>
  <c r="A40" i="3"/>
  <c r="B39" i="3"/>
  <c r="C39" i="3" s="1"/>
  <c r="D39" i="3" s="1"/>
  <c r="I36" i="3"/>
  <c r="G37" i="3"/>
  <c r="H37" i="3" l="1"/>
  <c r="B40" i="3"/>
  <c r="C40" i="3" s="1"/>
  <c r="D40" i="3" s="1"/>
  <c r="A41" i="3"/>
  <c r="E39" i="3"/>
  <c r="F38" i="3"/>
  <c r="H38" i="3" s="1"/>
  <c r="J38" i="3"/>
  <c r="M38" i="3" s="1"/>
  <c r="K37" i="3"/>
  <c r="L37" i="3" s="1"/>
  <c r="I37" i="3"/>
  <c r="G38" i="3"/>
  <c r="M37" i="3"/>
  <c r="K38" i="3" l="1"/>
  <c r="L38" i="3" s="1"/>
  <c r="J39" i="3"/>
  <c r="F39" i="3"/>
  <c r="E40" i="3"/>
  <c r="A42" i="3"/>
  <c r="B41" i="3"/>
  <c r="C41" i="3" s="1"/>
  <c r="D41" i="3" s="1"/>
  <c r="G39" i="3"/>
  <c r="I38" i="3"/>
  <c r="H39" i="3" l="1"/>
  <c r="E41" i="3"/>
  <c r="F40" i="3"/>
  <c r="H40" i="3" s="1"/>
  <c r="B42" i="3"/>
  <c r="C42" i="3" s="1"/>
  <c r="D42" i="3" s="1"/>
  <c r="A43" i="3"/>
  <c r="J40" i="3"/>
  <c r="M40" i="3" s="1"/>
  <c r="K39" i="3"/>
  <c r="L39" i="3" s="1"/>
  <c r="M39" i="3"/>
  <c r="G40" i="3"/>
  <c r="I39" i="3"/>
  <c r="K40" i="3" l="1"/>
  <c r="L40" i="3" s="1"/>
  <c r="J41" i="3"/>
  <c r="B43" i="3"/>
  <c r="C43" i="3" s="1"/>
  <c r="D43" i="3" s="1"/>
  <c r="A44" i="3"/>
  <c r="G41" i="3"/>
  <c r="I40" i="3"/>
  <c r="F41" i="3"/>
  <c r="E42" i="3"/>
  <c r="I41" i="3" l="1"/>
  <c r="G42" i="3"/>
  <c r="A45" i="3"/>
  <c r="B44" i="3"/>
  <c r="C44" i="3" s="1"/>
  <c r="D44" i="3" s="1"/>
  <c r="J42" i="3"/>
  <c r="K41" i="3"/>
  <c r="L41" i="3" s="1"/>
  <c r="E43" i="3"/>
  <c r="F42" i="3"/>
  <c r="M41" i="3"/>
  <c r="H41" i="3"/>
  <c r="J43" i="3" l="1"/>
  <c r="K42" i="3"/>
  <c r="L42" i="3" s="1"/>
  <c r="M43" i="3"/>
  <c r="M42" i="3"/>
  <c r="A46" i="3"/>
  <c r="B45" i="3"/>
  <c r="C45" i="3" s="1"/>
  <c r="D45" i="3" s="1"/>
  <c r="G43" i="3"/>
  <c r="I42" i="3"/>
  <c r="H42" i="3"/>
  <c r="E44" i="3"/>
  <c r="F43" i="3"/>
  <c r="I43" i="3" l="1"/>
  <c r="G44" i="3"/>
  <c r="A47" i="3"/>
  <c r="B46" i="3"/>
  <c r="C46" i="3" s="1"/>
  <c r="D46" i="3" s="1"/>
  <c r="H43" i="3"/>
  <c r="F44" i="3"/>
  <c r="H44" i="3" s="1"/>
  <c r="E45" i="3"/>
  <c r="K43" i="3"/>
  <c r="L43" i="3" s="1"/>
  <c r="J44" i="3"/>
  <c r="E46" i="3" l="1"/>
  <c r="F45" i="3"/>
  <c r="A48" i="3"/>
  <c r="B47" i="3"/>
  <c r="C47" i="3" s="1"/>
  <c r="D47" i="3" s="1"/>
  <c r="K44" i="3"/>
  <c r="L44" i="3" s="1"/>
  <c r="J45" i="3"/>
  <c r="I44" i="3"/>
  <c r="G45" i="3"/>
  <c r="M44" i="3"/>
  <c r="H45" i="3" l="1"/>
  <c r="J46" i="3"/>
  <c r="K45" i="3"/>
  <c r="L45" i="3" s="1"/>
  <c r="M45" i="3"/>
  <c r="B48" i="3"/>
  <c r="C48" i="3" s="1"/>
  <c r="D48" i="3" s="1"/>
  <c r="A49" i="3"/>
  <c r="I45" i="3"/>
  <c r="G46" i="3"/>
  <c r="F46" i="3"/>
  <c r="E47" i="3"/>
  <c r="H46" i="3" l="1"/>
  <c r="K46" i="3"/>
  <c r="L46" i="3" s="1"/>
  <c r="J47" i="3"/>
  <c r="M47" i="3" s="1"/>
  <c r="A50" i="3"/>
  <c r="B49" i="3"/>
  <c r="C49" i="3" s="1"/>
  <c r="D49" i="3" s="1"/>
  <c r="F47" i="3"/>
  <c r="H47" i="3" s="1"/>
  <c r="E48" i="3"/>
  <c r="M46" i="3"/>
  <c r="G47" i="3"/>
  <c r="I46" i="3"/>
  <c r="E49" i="3" l="1"/>
  <c r="F48" i="3"/>
  <c r="A51" i="3"/>
  <c r="B50" i="3"/>
  <c r="C50" i="3" s="1"/>
  <c r="D50" i="3" s="1"/>
  <c r="G48" i="3"/>
  <c r="I47" i="3"/>
  <c r="J48" i="3"/>
  <c r="K47" i="3"/>
  <c r="L47" i="3" s="1"/>
  <c r="B51" i="3" l="1"/>
  <c r="C51" i="3" s="1"/>
  <c r="D51" i="3" s="1"/>
  <c r="A52" i="3"/>
  <c r="K48" i="3"/>
  <c r="L48" i="3" s="1"/>
  <c r="J49" i="3"/>
  <c r="I48" i="3"/>
  <c r="G49" i="3"/>
  <c r="H48" i="3"/>
  <c r="M48" i="3"/>
  <c r="F49" i="3"/>
  <c r="E50" i="3"/>
  <c r="G50" i="3" l="1"/>
  <c r="I49" i="3"/>
  <c r="K49" i="3"/>
  <c r="L49" i="3" s="1"/>
  <c r="J50" i="3"/>
  <c r="M49" i="3"/>
  <c r="E51" i="3"/>
  <c r="F50" i="3"/>
  <c r="H49" i="3"/>
  <c r="A53" i="3"/>
  <c r="B52" i="3"/>
  <c r="C52" i="3" s="1"/>
  <c r="D52" i="3" s="1"/>
  <c r="E52" i="3" l="1"/>
  <c r="F51" i="3"/>
  <c r="J51" i="3"/>
  <c r="M51" i="3" s="1"/>
  <c r="K50" i="3"/>
  <c r="L50" i="3" s="1"/>
  <c r="M50" i="3"/>
  <c r="B53" i="3"/>
  <c r="C53" i="3" s="1"/>
  <c r="D53" i="3" s="1"/>
  <c r="A54" i="3"/>
  <c r="G51" i="3"/>
  <c r="I50" i="3"/>
  <c r="H50" i="3"/>
  <c r="H51" i="3" l="1"/>
  <c r="K51" i="3"/>
  <c r="L51" i="3" s="1"/>
  <c r="J52" i="3"/>
  <c r="I51" i="3"/>
  <c r="G52" i="3"/>
  <c r="F52" i="3"/>
  <c r="E53" i="3"/>
  <c r="A55" i="3"/>
  <c r="B54" i="3"/>
  <c r="C54" i="3" s="1"/>
  <c r="D54" i="3" s="1"/>
  <c r="H52" i="3" l="1"/>
  <c r="J53" i="3"/>
  <c r="M53" i="3" s="1"/>
  <c r="K52" i="3"/>
  <c r="L52" i="3" s="1"/>
  <c r="M52" i="3"/>
  <c r="E54" i="3"/>
  <c r="F53" i="3"/>
  <c r="G53" i="3"/>
  <c r="I52" i="3"/>
  <c r="A56" i="3"/>
  <c r="B55" i="3"/>
  <c r="C55" i="3" s="1"/>
  <c r="D55" i="3" s="1"/>
  <c r="I53" i="3" l="1"/>
  <c r="G54" i="3"/>
  <c r="E55" i="3"/>
  <c r="F54" i="3"/>
  <c r="H54" i="3" s="1"/>
  <c r="H53" i="3"/>
  <c r="B56" i="3"/>
  <c r="C56" i="3" s="1"/>
  <c r="D56" i="3" s="1"/>
  <c r="A57" i="3"/>
  <c r="J54" i="3"/>
  <c r="M54" i="3" s="1"/>
  <c r="K53" i="3"/>
  <c r="L53" i="3" s="1"/>
  <c r="A58" i="3" l="1"/>
  <c r="B57" i="3"/>
  <c r="C57" i="3" s="1"/>
  <c r="D57" i="3" s="1"/>
  <c r="F55" i="3"/>
  <c r="E56" i="3"/>
  <c r="G55" i="3"/>
  <c r="I54" i="3"/>
  <c r="K54" i="3"/>
  <c r="L54" i="3" s="1"/>
  <c r="J55" i="3"/>
  <c r="H55" i="3" l="1"/>
  <c r="G56" i="3"/>
  <c r="I55" i="3"/>
  <c r="E57" i="3"/>
  <c r="F56" i="3"/>
  <c r="H56" i="3" s="1"/>
  <c r="J56" i="3"/>
  <c r="K55" i="3"/>
  <c r="L55" i="3" s="1"/>
  <c r="B58" i="3"/>
  <c r="C58" i="3" s="1"/>
  <c r="D58" i="3" s="1"/>
  <c r="A59" i="3"/>
  <c r="M55" i="3"/>
  <c r="K56" i="3" l="1"/>
  <c r="L56" i="3" s="1"/>
  <c r="J57" i="3"/>
  <c r="M56" i="3"/>
  <c r="F57" i="3"/>
  <c r="E58" i="3"/>
  <c r="A60" i="3"/>
  <c r="B59" i="3"/>
  <c r="C59" i="3" s="1"/>
  <c r="D59" i="3" s="1"/>
  <c r="I56" i="3"/>
  <c r="G57" i="3"/>
  <c r="H57" i="3" l="1"/>
  <c r="E59" i="3"/>
  <c r="F58" i="3"/>
  <c r="B60" i="3"/>
  <c r="C60" i="3" s="1"/>
  <c r="D60" i="3" s="1"/>
  <c r="A61" i="3"/>
  <c r="G58" i="3"/>
  <c r="I57" i="3"/>
  <c r="J58" i="3"/>
  <c r="K57" i="3"/>
  <c r="L57" i="3" s="1"/>
  <c r="M57" i="3"/>
  <c r="K58" i="3" l="1"/>
  <c r="L58" i="3" s="1"/>
  <c r="J59" i="3"/>
  <c r="M59" i="3" s="1"/>
  <c r="I58" i="3"/>
  <c r="G59" i="3"/>
  <c r="B61" i="3"/>
  <c r="C61" i="3" s="1"/>
  <c r="D61" i="3" s="1"/>
  <c r="A62" i="3"/>
  <c r="H58" i="3"/>
  <c r="F59" i="3"/>
  <c r="E60" i="3"/>
  <c r="M58" i="3"/>
  <c r="A63" i="3" l="1"/>
  <c r="B62" i="3"/>
  <c r="C62" i="3" s="1"/>
  <c r="D62" i="3" s="1"/>
  <c r="G60" i="3"/>
  <c r="I59" i="3"/>
  <c r="F60" i="3"/>
  <c r="H60" i="3" s="1"/>
  <c r="E61" i="3"/>
  <c r="J60" i="3"/>
  <c r="K59" i="3"/>
  <c r="L59" i="3" s="1"/>
  <c r="H59" i="3"/>
  <c r="J61" i="3" l="1"/>
  <c r="K60" i="3"/>
  <c r="L60" i="3" s="1"/>
  <c r="M61" i="3"/>
  <c r="E62" i="3"/>
  <c r="F61" i="3"/>
  <c r="G61" i="3"/>
  <c r="I60" i="3"/>
  <c r="A64" i="3"/>
  <c r="B63" i="3"/>
  <c r="C63" i="3" s="1"/>
  <c r="D63" i="3" s="1"/>
  <c r="M60" i="3"/>
  <c r="H61" i="3" l="1"/>
  <c r="I61" i="3"/>
  <c r="G62" i="3"/>
  <c r="E63" i="3"/>
  <c r="F62" i="3"/>
  <c r="H62" i="3" s="1"/>
  <c r="J62" i="3"/>
  <c r="K61" i="3"/>
  <c r="L61" i="3" s="1"/>
  <c r="A65" i="3"/>
  <c r="B64" i="3"/>
  <c r="C64" i="3" s="1"/>
  <c r="D64" i="3" s="1"/>
  <c r="G63" i="3" l="1"/>
  <c r="I62" i="3"/>
  <c r="J63" i="3"/>
  <c r="K62" i="3"/>
  <c r="L62" i="3" s="1"/>
  <c r="M63" i="3"/>
  <c r="M62" i="3"/>
  <c r="E64" i="3"/>
  <c r="F63" i="3"/>
  <c r="A66" i="3"/>
  <c r="B65" i="3"/>
  <c r="C65" i="3" s="1"/>
  <c r="D65" i="3" s="1"/>
  <c r="F64" i="3" l="1"/>
  <c r="E65" i="3"/>
  <c r="J64" i="3"/>
  <c r="K63" i="3"/>
  <c r="L63" i="3" s="1"/>
  <c r="B66" i="3"/>
  <c r="C66" i="3" s="1"/>
  <c r="D66" i="3" s="1"/>
  <c r="A67" i="3"/>
  <c r="I63" i="3"/>
  <c r="G64" i="3"/>
  <c r="H63" i="3"/>
  <c r="B67" i="3" l="1"/>
  <c r="C67" i="3" s="1"/>
  <c r="D67" i="3" s="1"/>
  <c r="A68" i="3"/>
  <c r="K64" i="3"/>
  <c r="L64" i="3" s="1"/>
  <c r="J65" i="3"/>
  <c r="M64" i="3"/>
  <c r="F65" i="3"/>
  <c r="E66" i="3"/>
  <c r="G65" i="3"/>
  <c r="I64" i="3"/>
  <c r="H64" i="3"/>
  <c r="H65" i="3" l="1"/>
  <c r="J66" i="3"/>
  <c r="K65" i="3"/>
  <c r="L65" i="3" s="1"/>
  <c r="M66" i="3"/>
  <c r="A69" i="3"/>
  <c r="B68" i="3"/>
  <c r="C68" i="3" s="1"/>
  <c r="D68" i="3" s="1"/>
  <c r="M65" i="3"/>
  <c r="G66" i="3"/>
  <c r="I65" i="3"/>
  <c r="E67" i="3"/>
  <c r="F66" i="3"/>
  <c r="I66" i="3" l="1"/>
  <c r="G67" i="3"/>
  <c r="B69" i="3"/>
  <c r="C69" i="3" s="1"/>
  <c r="D69" i="3" s="1"/>
  <c r="A70" i="3"/>
  <c r="H66" i="3"/>
  <c r="F67" i="3"/>
  <c r="H67" i="3" s="1"/>
  <c r="E68" i="3"/>
  <c r="J67" i="3"/>
  <c r="M67" i="3" s="1"/>
  <c r="K66" i="3"/>
  <c r="L66" i="3" s="1"/>
  <c r="B70" i="3" l="1"/>
  <c r="C70" i="3" s="1"/>
  <c r="D70" i="3" s="1"/>
  <c r="A71" i="3"/>
  <c r="F68" i="3"/>
  <c r="E69" i="3"/>
  <c r="G68" i="3"/>
  <c r="I67" i="3"/>
  <c r="K67" i="3"/>
  <c r="L67" i="3" s="1"/>
  <c r="J68" i="3"/>
  <c r="I68" i="3" l="1"/>
  <c r="G69" i="3"/>
  <c r="E70" i="3"/>
  <c r="F69" i="3"/>
  <c r="H69" i="3" s="1"/>
  <c r="J69" i="3"/>
  <c r="K68" i="3"/>
  <c r="L68" i="3" s="1"/>
  <c r="H68" i="3"/>
  <c r="A72" i="3"/>
  <c r="B71" i="3"/>
  <c r="C71" i="3" s="1"/>
  <c r="D71" i="3" s="1"/>
  <c r="M68" i="3"/>
  <c r="J70" i="3" l="1"/>
  <c r="K69" i="3"/>
  <c r="L69" i="3" s="1"/>
  <c r="M69" i="3"/>
  <c r="E71" i="3"/>
  <c r="F70" i="3"/>
  <c r="I69" i="3"/>
  <c r="G70" i="3"/>
  <c r="A73" i="3"/>
  <c r="B72" i="3"/>
  <c r="C72" i="3" s="1"/>
  <c r="D72" i="3" s="1"/>
  <c r="H70" i="3" l="1"/>
  <c r="F71" i="3"/>
  <c r="E72" i="3"/>
  <c r="J71" i="3"/>
  <c r="K70" i="3"/>
  <c r="L70" i="3" s="1"/>
  <c r="B73" i="3"/>
  <c r="C73" i="3" s="1"/>
  <c r="D73" i="3" s="1"/>
  <c r="A74" i="3"/>
  <c r="M70" i="3"/>
  <c r="I70" i="3"/>
  <c r="G71" i="3"/>
  <c r="A75" i="3" l="1"/>
  <c r="B74" i="3"/>
  <c r="C74" i="3" s="1"/>
  <c r="D74" i="3" s="1"/>
  <c r="K71" i="3"/>
  <c r="L71" i="3" s="1"/>
  <c r="J72" i="3"/>
  <c r="M72" i="3"/>
  <c r="M71" i="3"/>
  <c r="G72" i="3"/>
  <c r="I71" i="3"/>
  <c r="E73" i="3"/>
  <c r="F72" i="3"/>
  <c r="H71" i="3"/>
  <c r="I72" i="3" l="1"/>
  <c r="G73" i="3"/>
  <c r="J73" i="3"/>
  <c r="K72" i="3"/>
  <c r="L72" i="3" s="1"/>
  <c r="H72" i="3"/>
  <c r="E74" i="3"/>
  <c r="F73" i="3"/>
  <c r="B75" i="3"/>
  <c r="C75" i="3" s="1"/>
  <c r="D75" i="3" s="1"/>
  <c r="A76" i="3"/>
  <c r="F74" i="3" l="1"/>
  <c r="E75" i="3"/>
  <c r="K73" i="3"/>
  <c r="L73" i="3" s="1"/>
  <c r="J74" i="3"/>
  <c r="M73" i="3"/>
  <c r="B76" i="3"/>
  <c r="C76" i="3" s="1"/>
  <c r="D76" i="3" s="1"/>
  <c r="A77" i="3"/>
  <c r="I73" i="3"/>
  <c r="G74" i="3"/>
  <c r="H73" i="3"/>
  <c r="K74" i="3" l="1"/>
  <c r="L74" i="3" s="1"/>
  <c r="J75" i="3"/>
  <c r="M74" i="3"/>
  <c r="I74" i="3"/>
  <c r="G75" i="3"/>
  <c r="F75" i="3"/>
  <c r="H75" i="3" s="1"/>
  <c r="E76" i="3"/>
  <c r="H74" i="3"/>
  <c r="A78" i="3"/>
  <c r="B77" i="3"/>
  <c r="C77" i="3" s="1"/>
  <c r="D77" i="3" s="1"/>
  <c r="K75" i="3" l="1"/>
  <c r="L75" i="3" s="1"/>
  <c r="J76" i="3"/>
  <c r="I75" i="3"/>
  <c r="G76" i="3"/>
  <c r="B78" i="3"/>
  <c r="C78" i="3" s="1"/>
  <c r="D78" i="3" s="1"/>
  <c r="A79" i="3"/>
  <c r="M75" i="3"/>
  <c r="E77" i="3"/>
  <c r="F76" i="3"/>
  <c r="A80" i="3" l="1"/>
  <c r="B79" i="3"/>
  <c r="C79" i="3" s="1"/>
  <c r="D79" i="3" s="1"/>
  <c r="K76" i="3"/>
  <c r="L76" i="3" s="1"/>
  <c r="J77" i="3"/>
  <c r="G77" i="3"/>
  <c r="I76" i="3"/>
  <c r="H76" i="3"/>
  <c r="M76" i="3"/>
  <c r="F77" i="3"/>
  <c r="E78" i="3"/>
  <c r="J78" i="3" l="1"/>
  <c r="M78" i="3"/>
  <c r="K77" i="3"/>
  <c r="L77" i="3" s="1"/>
  <c r="E79" i="3"/>
  <c r="F78" i="3"/>
  <c r="G78" i="3"/>
  <c r="I77" i="3"/>
  <c r="M77" i="3"/>
  <c r="H77" i="3"/>
  <c r="A81" i="3"/>
  <c r="B80" i="3"/>
  <c r="C80" i="3" s="1"/>
  <c r="D80" i="3" s="1"/>
  <c r="I78" i="3" l="1"/>
  <c r="G79" i="3"/>
  <c r="E80" i="3"/>
  <c r="F79" i="3"/>
  <c r="H79" i="3" s="1"/>
  <c r="H78" i="3"/>
  <c r="B81" i="3"/>
  <c r="C81" i="3" s="1"/>
  <c r="D81" i="3" s="1"/>
  <c r="A82" i="3"/>
  <c r="K78" i="3"/>
  <c r="L78" i="3" s="1"/>
  <c r="J79" i="3"/>
  <c r="A83" i="3" l="1"/>
  <c r="B82" i="3"/>
  <c r="C82" i="3" s="1"/>
  <c r="D82" i="3" s="1"/>
  <c r="F80" i="3"/>
  <c r="E81" i="3"/>
  <c r="J80" i="3"/>
  <c r="K79" i="3"/>
  <c r="L79" i="3" s="1"/>
  <c r="M80" i="3"/>
  <c r="G80" i="3"/>
  <c r="I79" i="3"/>
  <c r="M79" i="3"/>
  <c r="H80" i="3" l="1"/>
  <c r="J81" i="3"/>
  <c r="K80" i="3"/>
  <c r="L80" i="3" s="1"/>
  <c r="M81" i="3"/>
  <c r="E82" i="3"/>
  <c r="F81" i="3"/>
  <c r="H81" i="3" s="1"/>
  <c r="A84" i="3"/>
  <c r="B83" i="3"/>
  <c r="C83" i="3" s="1"/>
  <c r="D83" i="3" s="1"/>
  <c r="G81" i="3"/>
  <c r="I80" i="3"/>
  <c r="A85" i="3" l="1"/>
  <c r="B84" i="3"/>
  <c r="C84" i="3" s="1"/>
  <c r="D84" i="3" s="1"/>
  <c r="F82" i="3"/>
  <c r="E83" i="3"/>
  <c r="K81" i="3"/>
  <c r="L81" i="3" s="1"/>
  <c r="J82" i="3"/>
  <c r="G82" i="3"/>
  <c r="I81" i="3"/>
  <c r="H82" i="3" l="1"/>
  <c r="J83" i="3"/>
  <c r="M83" i="3" s="1"/>
  <c r="K82" i="3"/>
  <c r="L82" i="3" s="1"/>
  <c r="M82" i="3"/>
  <c r="F83" i="3"/>
  <c r="H83" i="3" s="1"/>
  <c r="E84" i="3"/>
  <c r="A86" i="3"/>
  <c r="B85" i="3"/>
  <c r="C85" i="3" s="1"/>
  <c r="D85" i="3" s="1"/>
  <c r="I82" i="3"/>
  <c r="G83" i="3"/>
  <c r="E85" i="3" l="1"/>
  <c r="F84" i="3"/>
  <c r="B86" i="3"/>
  <c r="C86" i="3" s="1"/>
  <c r="D86" i="3" s="1"/>
  <c r="A87" i="3"/>
  <c r="I83" i="3"/>
  <c r="G84" i="3"/>
  <c r="J84" i="3"/>
  <c r="M84" i="3" s="1"/>
  <c r="K83" i="3"/>
  <c r="L83" i="3" s="1"/>
  <c r="A88" i="3" l="1"/>
  <c r="B87" i="3"/>
  <c r="C87" i="3" s="1"/>
  <c r="D87" i="3" s="1"/>
  <c r="G85" i="3"/>
  <c r="I84" i="3"/>
  <c r="H84" i="3"/>
  <c r="F85" i="3"/>
  <c r="E86" i="3"/>
  <c r="K84" i="3"/>
  <c r="L84" i="3" s="1"/>
  <c r="J85" i="3"/>
  <c r="M85" i="3"/>
  <c r="H85" i="3" l="1"/>
  <c r="E87" i="3"/>
  <c r="F86" i="3"/>
  <c r="G86" i="3"/>
  <c r="I85" i="3"/>
  <c r="J86" i="3"/>
  <c r="M86" i="3" s="1"/>
  <c r="K85" i="3"/>
  <c r="L85" i="3" s="1"/>
  <c r="B88" i="3"/>
  <c r="C88" i="3" s="1"/>
  <c r="D88" i="3" s="1"/>
  <c r="A89" i="3"/>
  <c r="B89" i="3" l="1"/>
  <c r="C89" i="3" s="1"/>
  <c r="D89" i="3" s="1"/>
  <c r="A90" i="3"/>
  <c r="J87" i="3"/>
  <c r="K86" i="3"/>
  <c r="L86" i="3" s="1"/>
  <c r="I86" i="3"/>
  <c r="G87" i="3"/>
  <c r="H86" i="3"/>
  <c r="F87" i="3"/>
  <c r="E88" i="3"/>
  <c r="G88" i="3" l="1"/>
  <c r="I87" i="3"/>
  <c r="K87" i="3"/>
  <c r="L87" i="3" s="1"/>
  <c r="J88" i="3"/>
  <c r="E89" i="3"/>
  <c r="F88" i="3"/>
  <c r="H88" i="3" s="1"/>
  <c r="H87" i="3"/>
  <c r="M87" i="3"/>
  <c r="A91" i="3"/>
  <c r="B90" i="3"/>
  <c r="C90" i="3" s="1"/>
  <c r="D90" i="3" s="1"/>
  <c r="J89" i="3" l="1"/>
  <c r="M89" i="3" s="1"/>
  <c r="K88" i="3"/>
  <c r="L88" i="3" s="1"/>
  <c r="M88" i="3"/>
  <c r="E90" i="3"/>
  <c r="F89" i="3"/>
  <c r="H89" i="3" s="1"/>
  <c r="A92" i="3"/>
  <c r="B91" i="3"/>
  <c r="C91" i="3" s="1"/>
  <c r="D91" i="3" s="1"/>
  <c r="I88" i="3"/>
  <c r="G89" i="3"/>
  <c r="I89" i="3" l="1"/>
  <c r="G90" i="3"/>
  <c r="A93" i="3"/>
  <c r="B92" i="3"/>
  <c r="C92" i="3" s="1"/>
  <c r="D92" i="3" s="1"/>
  <c r="F90" i="3"/>
  <c r="H90" i="3" s="1"/>
  <c r="E91" i="3"/>
  <c r="K89" i="3"/>
  <c r="L89" i="3" s="1"/>
  <c r="J90" i="3"/>
  <c r="E92" i="3" l="1"/>
  <c r="F91" i="3"/>
  <c r="A94" i="3"/>
  <c r="B93" i="3"/>
  <c r="C93" i="3" s="1"/>
  <c r="D93" i="3" s="1"/>
  <c r="I90" i="3"/>
  <c r="G91" i="3"/>
  <c r="J91" i="3"/>
  <c r="K90" i="3"/>
  <c r="L90" i="3" s="1"/>
  <c r="M90" i="3"/>
  <c r="J92" i="3" l="1"/>
  <c r="M92" i="3" s="1"/>
  <c r="K91" i="3"/>
  <c r="L91" i="3" s="1"/>
  <c r="I91" i="3"/>
  <c r="G92" i="3"/>
  <c r="B94" i="3"/>
  <c r="C94" i="3" s="1"/>
  <c r="D94" i="3" s="1"/>
  <c r="A95" i="3"/>
  <c r="H91" i="3"/>
  <c r="E93" i="3"/>
  <c r="F92" i="3"/>
  <c r="M91" i="3"/>
  <c r="A96" i="3" l="1"/>
  <c r="B95" i="3"/>
  <c r="C95" i="3" s="1"/>
  <c r="D95" i="3" s="1"/>
  <c r="G93" i="3"/>
  <c r="I92" i="3"/>
  <c r="H92" i="3"/>
  <c r="F93" i="3"/>
  <c r="H93" i="3" s="1"/>
  <c r="E94" i="3"/>
  <c r="K92" i="3"/>
  <c r="L92" i="3" s="1"/>
  <c r="J93" i="3"/>
  <c r="M93" i="3"/>
  <c r="E95" i="3" l="1"/>
  <c r="F94" i="3"/>
  <c r="I93" i="3"/>
  <c r="G94" i="3"/>
  <c r="J94" i="3"/>
  <c r="K93" i="3"/>
  <c r="L93" i="3" s="1"/>
  <c r="M94" i="3"/>
  <c r="A97" i="3"/>
  <c r="B96" i="3"/>
  <c r="C96" i="3" s="1"/>
  <c r="D96" i="3" s="1"/>
  <c r="K94" i="3" l="1"/>
  <c r="L94" i="3" s="1"/>
  <c r="J95" i="3"/>
  <c r="H94" i="3"/>
  <c r="I94" i="3"/>
  <c r="G95" i="3"/>
  <c r="E96" i="3"/>
  <c r="F95" i="3"/>
  <c r="B97" i="3"/>
  <c r="C97" i="3" s="1"/>
  <c r="D97" i="3" s="1"/>
  <c r="A98" i="3"/>
  <c r="G96" i="3" l="1"/>
  <c r="I95" i="3"/>
  <c r="K95" i="3"/>
  <c r="L95" i="3" s="1"/>
  <c r="J96" i="3"/>
  <c r="F96" i="3"/>
  <c r="H96" i="3" s="1"/>
  <c r="E97" i="3"/>
  <c r="A99" i="3"/>
  <c r="B98" i="3"/>
  <c r="C98" i="3" s="1"/>
  <c r="D98" i="3" s="1"/>
  <c r="M95" i="3"/>
  <c r="H95" i="3"/>
  <c r="E98" i="3" l="1"/>
  <c r="F97" i="3"/>
  <c r="J97" i="3"/>
  <c r="M97" i="3"/>
  <c r="K96" i="3"/>
  <c r="L96" i="3" s="1"/>
  <c r="M96" i="3"/>
  <c r="I96" i="3"/>
  <c r="G97" i="3"/>
  <c r="A100" i="3"/>
  <c r="B99" i="3"/>
  <c r="C99" i="3" s="1"/>
  <c r="D99" i="3" s="1"/>
  <c r="H97" i="3" l="1"/>
  <c r="K97" i="3"/>
  <c r="L97" i="3" s="1"/>
  <c r="J98" i="3"/>
  <c r="B100" i="3"/>
  <c r="C100" i="3" s="1"/>
  <c r="D100" i="3" s="1"/>
  <c r="A101" i="3"/>
  <c r="F98" i="3"/>
  <c r="H98" i="3" s="1"/>
  <c r="E99" i="3"/>
  <c r="I97" i="3"/>
  <c r="G98" i="3"/>
  <c r="E100" i="3" l="1"/>
  <c r="F99" i="3"/>
  <c r="H99" i="3" s="1"/>
  <c r="A102" i="3"/>
  <c r="B101" i="3"/>
  <c r="C101" i="3" s="1"/>
  <c r="D101" i="3" s="1"/>
  <c r="J99" i="3"/>
  <c r="K98" i="3"/>
  <c r="L98" i="3" s="1"/>
  <c r="M99" i="3"/>
  <c r="M98" i="3"/>
  <c r="G99" i="3"/>
  <c r="I98" i="3"/>
  <c r="J100" i="3" l="1"/>
  <c r="K99" i="3"/>
  <c r="L99" i="3" s="1"/>
  <c r="B102" i="3"/>
  <c r="C102" i="3" s="1"/>
  <c r="D102" i="3" s="1"/>
  <c r="A103" i="3"/>
  <c r="I99" i="3"/>
  <c r="G100" i="3"/>
  <c r="F100" i="3"/>
  <c r="E101" i="3"/>
  <c r="G101" i="3" l="1"/>
  <c r="I100" i="3"/>
  <c r="B103" i="3"/>
  <c r="C103" i="3" s="1"/>
  <c r="D103" i="3" s="1"/>
  <c r="A104" i="3"/>
  <c r="K100" i="3"/>
  <c r="L100" i="3" s="1"/>
  <c r="J101" i="3"/>
  <c r="F101" i="3"/>
  <c r="E102" i="3"/>
  <c r="M100" i="3"/>
  <c r="H100" i="3"/>
  <c r="J102" i="3" l="1"/>
  <c r="M102" i="3"/>
  <c r="K101" i="3"/>
  <c r="L101" i="3" s="1"/>
  <c r="M101" i="3"/>
  <c r="A105" i="3"/>
  <c r="B104" i="3"/>
  <c r="C104" i="3" s="1"/>
  <c r="D104" i="3" s="1"/>
  <c r="E103" i="3"/>
  <c r="F102" i="3"/>
  <c r="G102" i="3"/>
  <c r="I101" i="3"/>
  <c r="H101" i="3"/>
  <c r="E104" i="3" l="1"/>
  <c r="F103" i="3"/>
  <c r="B105" i="3"/>
  <c r="C105" i="3" s="1"/>
  <c r="D105" i="3" s="1"/>
  <c r="A106" i="3"/>
  <c r="I102" i="3"/>
  <c r="G103" i="3"/>
  <c r="J103" i="3"/>
  <c r="M103" i="3" s="1"/>
  <c r="K102" i="3"/>
  <c r="L102" i="3" s="1"/>
  <c r="H102" i="3"/>
  <c r="G104" i="3" l="1"/>
  <c r="I103" i="3"/>
  <c r="A107" i="3"/>
  <c r="B106" i="3"/>
  <c r="C106" i="3" s="1"/>
  <c r="D106" i="3" s="1"/>
  <c r="H103" i="3"/>
  <c r="E105" i="3"/>
  <c r="F104" i="3"/>
  <c r="H104" i="3" s="1"/>
  <c r="J104" i="3"/>
  <c r="M104" i="3" s="1"/>
  <c r="K103" i="3"/>
  <c r="L103" i="3" s="1"/>
  <c r="E106" i="3" l="1"/>
  <c r="F105" i="3"/>
  <c r="B107" i="3"/>
  <c r="C107" i="3" s="1"/>
  <c r="D107" i="3" s="1"/>
  <c r="A108" i="3"/>
  <c r="I104" i="3"/>
  <c r="G105" i="3"/>
  <c r="J105" i="3"/>
  <c r="K104" i="3"/>
  <c r="L104" i="3" s="1"/>
  <c r="I105" i="3" l="1"/>
  <c r="G106" i="3"/>
  <c r="B108" i="3"/>
  <c r="C108" i="3" s="1"/>
  <c r="D108" i="3" s="1"/>
  <c r="A109" i="3"/>
  <c r="K105" i="3"/>
  <c r="L105" i="3" s="1"/>
  <c r="J106" i="3"/>
  <c r="H105" i="3"/>
  <c r="M105" i="3"/>
  <c r="F106" i="3"/>
  <c r="E107" i="3"/>
  <c r="H106" i="3" l="1"/>
  <c r="E108" i="3"/>
  <c r="F107" i="3"/>
  <c r="J107" i="3"/>
  <c r="K106" i="3"/>
  <c r="L106" i="3" s="1"/>
  <c r="M107" i="3"/>
  <c r="M106" i="3"/>
  <c r="A110" i="3"/>
  <c r="B109" i="3"/>
  <c r="C109" i="3" s="1"/>
  <c r="D109" i="3" s="1"/>
  <c r="I106" i="3"/>
  <c r="G107" i="3"/>
  <c r="B110" i="3" l="1"/>
  <c r="C110" i="3" s="1"/>
  <c r="D110" i="3" s="1"/>
  <c r="A111" i="3"/>
  <c r="K107" i="3"/>
  <c r="L107" i="3" s="1"/>
  <c r="J108" i="3"/>
  <c r="I107" i="3"/>
  <c r="G108" i="3"/>
  <c r="H107" i="3"/>
  <c r="E109" i="3"/>
  <c r="F108" i="3"/>
  <c r="G109" i="3" l="1"/>
  <c r="I108" i="3"/>
  <c r="K108" i="3"/>
  <c r="L108" i="3" s="1"/>
  <c r="J109" i="3"/>
  <c r="M108" i="3"/>
  <c r="H108" i="3"/>
  <c r="A112" i="3"/>
  <c r="B111" i="3"/>
  <c r="C111" i="3" s="1"/>
  <c r="D111" i="3" s="1"/>
  <c r="F109" i="3"/>
  <c r="H109" i="3" s="1"/>
  <c r="E110" i="3"/>
  <c r="J110" i="3" l="1"/>
  <c r="M110" i="3"/>
  <c r="K109" i="3"/>
  <c r="L109" i="3" s="1"/>
  <c r="M109" i="3"/>
  <c r="E111" i="3"/>
  <c r="F110" i="3"/>
  <c r="I109" i="3"/>
  <c r="G110" i="3"/>
  <c r="B112" i="3"/>
  <c r="C112" i="3" s="1"/>
  <c r="D112" i="3" s="1"/>
  <c r="A113" i="3"/>
  <c r="H110" i="3" l="1"/>
  <c r="F111" i="3"/>
  <c r="E112" i="3"/>
  <c r="B113" i="3"/>
  <c r="C113" i="3" s="1"/>
  <c r="D113" i="3" s="1"/>
  <c r="A114" i="3"/>
  <c r="J111" i="3"/>
  <c r="K110" i="3"/>
  <c r="L110" i="3" s="1"/>
  <c r="I110" i="3"/>
  <c r="G111" i="3"/>
  <c r="J112" i="3" l="1"/>
  <c r="K111" i="3"/>
  <c r="L111" i="3" s="1"/>
  <c r="M112" i="3"/>
  <c r="M111" i="3"/>
  <c r="A115" i="3"/>
  <c r="B114" i="3"/>
  <c r="C114" i="3" s="1"/>
  <c r="D114" i="3" s="1"/>
  <c r="E113" i="3"/>
  <c r="F112" i="3"/>
  <c r="G112" i="3"/>
  <c r="I111" i="3"/>
  <c r="H111" i="3"/>
  <c r="E114" i="3" l="1"/>
  <c r="F113" i="3"/>
  <c r="A116" i="3"/>
  <c r="B115" i="3"/>
  <c r="C115" i="3" s="1"/>
  <c r="D115" i="3" s="1"/>
  <c r="G113" i="3"/>
  <c r="I112" i="3"/>
  <c r="J113" i="3"/>
  <c r="K112" i="3"/>
  <c r="L112" i="3" s="1"/>
  <c r="H112" i="3"/>
  <c r="G114" i="3" l="1"/>
  <c r="I113" i="3"/>
  <c r="K113" i="3"/>
  <c r="L113" i="3" s="1"/>
  <c r="J114" i="3"/>
  <c r="M114" i="3" s="1"/>
  <c r="B116" i="3"/>
  <c r="C116" i="3" s="1"/>
  <c r="D116" i="3" s="1"/>
  <c r="A117" i="3"/>
  <c r="H113" i="3"/>
  <c r="M113" i="3"/>
  <c r="F114" i="3"/>
  <c r="H114" i="3" s="1"/>
  <c r="E115" i="3"/>
  <c r="A118" i="3" l="1"/>
  <c r="B117" i="3"/>
  <c r="C117" i="3" s="1"/>
  <c r="D117" i="3" s="1"/>
  <c r="E116" i="3"/>
  <c r="F115" i="3"/>
  <c r="J115" i="3"/>
  <c r="M115" i="3" s="1"/>
  <c r="K114" i="3"/>
  <c r="L114" i="3" s="1"/>
  <c r="I114" i="3"/>
  <c r="G115" i="3"/>
  <c r="H115" i="3" l="1"/>
  <c r="J116" i="3"/>
  <c r="K115" i="3"/>
  <c r="L115" i="3" s="1"/>
  <c r="E117" i="3"/>
  <c r="F116" i="3"/>
  <c r="I115" i="3"/>
  <c r="G116" i="3"/>
  <c r="B118" i="3"/>
  <c r="C118" i="3" s="1"/>
  <c r="D118" i="3" s="1"/>
  <c r="A119" i="3"/>
  <c r="B119" i="3" s="1"/>
  <c r="C119" i="3" l="1"/>
  <c r="D119" i="3" s="1"/>
  <c r="K116" i="3"/>
  <c r="L116" i="3" s="1"/>
  <c r="J117" i="3"/>
  <c r="M117" i="3"/>
  <c r="G117" i="3"/>
  <c r="I116" i="3"/>
  <c r="H116" i="3"/>
  <c r="F117" i="3"/>
  <c r="E118" i="3"/>
  <c r="M116" i="3"/>
  <c r="B17" i="4" l="1"/>
  <c r="B16" i="4"/>
  <c r="G118" i="3"/>
  <c r="I117" i="3"/>
  <c r="J118" i="3"/>
  <c r="M118" i="3"/>
  <c r="K117" i="3"/>
  <c r="L117" i="3" s="1"/>
  <c r="E119" i="3"/>
  <c r="F119" i="3" s="1"/>
  <c r="F118" i="3"/>
  <c r="H117" i="3"/>
  <c r="H118" i="3" l="1"/>
  <c r="B8" i="4"/>
  <c r="B22" i="4"/>
  <c r="B9" i="4"/>
  <c r="B21" i="4"/>
  <c r="B11" i="4"/>
  <c r="H119" i="3"/>
  <c r="K118" i="3"/>
  <c r="L118" i="3" s="1"/>
  <c r="J119" i="3"/>
  <c r="M119" i="3" s="1"/>
  <c r="I118" i="3"/>
  <c r="G119" i="3"/>
  <c r="I119" i="3" s="1"/>
  <c r="B10" i="4" l="1"/>
  <c r="B27" i="4"/>
  <c r="K119" i="3"/>
  <c r="L119" i="3" s="1"/>
  <c r="B7" i="4" l="1"/>
  <c r="B6" i="4"/>
  <c r="B36" i="4" s="1"/>
  <c r="B38" i="4" s="1"/>
  <c r="B29" i="4"/>
  <c r="B40" i="4" l="1"/>
</calcChain>
</file>

<file path=xl/sharedStrings.xml><?xml version="1.0" encoding="utf-8"?>
<sst xmlns="http://schemas.openxmlformats.org/spreadsheetml/2006/main" count="445" uniqueCount="312">
  <si>
    <t>DESIGN INPUTS</t>
  </si>
  <si>
    <t>MILK (PROCESS STREAM)</t>
  </si>
  <si>
    <t>Description</t>
  </si>
  <si>
    <t>Value</t>
  </si>
  <si>
    <t>Unit</t>
  </si>
  <si>
    <t xml:space="preserve">Notes </t>
  </si>
  <si>
    <t>Milk inlet velocity</t>
  </si>
  <si>
    <t>m/s</t>
  </si>
  <si>
    <t>Upper Limit of 1 m/s, what can be changed in the experimental setup.</t>
  </si>
  <si>
    <t>Milk inlet temperature</t>
  </si>
  <si>
    <t>degC</t>
  </si>
  <si>
    <t>Raw milk ex chilled storage (4-10 degC typical).</t>
  </si>
  <si>
    <t>Inlet milk solids concentration</t>
  </si>
  <si>
    <t>kg/kg</t>
  </si>
  <si>
    <t>Raw whole milk ~ 12-13 wt% total solids. Enter as a fraction (0.12 = 12%).</t>
  </si>
  <si>
    <t>Liquid specific heat capacity</t>
  </si>
  <si>
    <t>kJ/(kg.K)</t>
  </si>
  <si>
    <t>ASSUMPTION: milk treated as pure water throughout.</t>
  </si>
  <si>
    <t>Liquid density</t>
  </si>
  <si>
    <t>kg/m3</t>
  </si>
  <si>
    <t>ASSUMPTION: milk treated as pure water. Used for the mass-flow conversion and velocity checks.</t>
  </si>
  <si>
    <t>Milk mass flow, Derived</t>
  </si>
  <si>
    <t>kg/h</t>
  </si>
  <si>
    <t>STEAM (HEATING MEDIUM)</t>
  </si>
  <si>
    <t>Notes / source</t>
  </si>
  <si>
    <t>Steam supply pressure (absolute)</t>
  </si>
  <si>
    <t>bar(a)</t>
  </si>
  <si>
    <t>Dry saturated steam assumed, so temperature is fixed by pressure (sheet 2). Table valid 1-10 bar(a).</t>
  </si>
  <si>
    <t>Steam mass flow injected</t>
  </si>
  <si>
    <t>Model input for the forward calculation. For the reverse problem (steam needed for a target temperature) see '5 Steam Sizing'.</t>
  </si>
  <si>
    <t>Change this to m3/h</t>
  </si>
  <si>
    <t>Steam nozzle internal diameter</t>
  </si>
  <si>
    <t>m</t>
  </si>
  <si>
    <t>Steam nozzle velocity limit (~ sonic)</t>
  </si>
  <si>
    <t>Saturated steam sonic velocity is ~480-500 m/s at 1-10 bar; a nozzle cannot pass steam faster than thi</t>
  </si>
  <si>
    <t>PIPE / INJECTOR</t>
  </si>
  <si>
    <t>Pipe length modelled</t>
  </si>
  <si>
    <t>Pipe internal diameter</t>
  </si>
  <si>
    <t>Steam injection position from inlet</t>
  </si>
  <si>
    <t>All steam condenses at this e point (immediate condensation, complete mixing)</t>
  </si>
  <si>
    <t>MODEL SETTINGS</t>
  </si>
  <si>
    <t>Number of nodes (pipe divisions)</t>
  </si>
  <si>
    <t>-</t>
  </si>
  <si>
    <t>Target solids after evaporation</t>
  </si>
  <si>
    <t>Set equal to the inlet solids concentration to restore original composition.</t>
  </si>
  <si>
    <t>CRITERIA FOR STERILISATION/PASTEURISATION</t>
  </si>
  <si>
    <t>Sterilisation temperature (UHT)</t>
  </si>
  <si>
    <t>UHT sterilisation: &gt;= 138 degC held &gt;= 2 s</t>
  </si>
  <si>
    <t>Sterilisation holding time</t>
  </si>
  <si>
    <t>s</t>
  </si>
  <si>
    <t>Pasteurisation temperature (HTST)</t>
  </si>
  <si>
    <t>HTST pasteurisation: &gt;= 72 degC held &gt;= 15 s.</t>
  </si>
  <si>
    <t>Pasteurisation holding time</t>
  </si>
  <si>
    <t>SATURATED STEAM PROPERTIES</t>
  </si>
  <si>
    <t>PROPERTIES AT THE MODEL STEAM PRESSURE (ALL CALCULATED FROM THE STEAM PRESSURE ON '1 INPUTS')</t>
  </si>
  <si>
    <t>Steam pressure</t>
  </si>
  <si>
    <t>Table row index</t>
  </si>
  <si>
    <t>Largest table pressure &lt;= supply pressure (table sorted ascending).</t>
  </si>
  <si>
    <t>Lower bracketing pressure P1</t>
  </si>
  <si>
    <t>Upper bracketing pressure P2</t>
  </si>
  <si>
    <t>Interpolation fraction f = (P-P1)/(P2-P1)</t>
  </si>
  <si>
    <t>0 &lt;= f &lt; 1; f = 0 when the pressure lands exactly on a table row.</t>
  </si>
  <si>
    <t>Saturation temperature</t>
  </si>
  <si>
    <t>This IS the steam temperature (saturated steam).</t>
  </si>
  <si>
    <t>Saturated liquid enthalpy (h_f)</t>
  </si>
  <si>
    <t>kJ/kg</t>
  </si>
  <si>
    <t>Condensate enthalpy at the supply pressure.</t>
  </si>
  <si>
    <t>Latent heat of vaporisation (h_fg)</t>
  </si>
  <si>
    <t>Heat released per kg condensed.</t>
  </si>
  <si>
    <t>Saturated vapour enthalpy (h_g)</t>
  </si>
  <si>
    <t>Enthalpy carried in per kg of injected steam — used in the node energy balance.</t>
  </si>
  <si>
    <t>Saturated vapour specific volume (v_g)</t>
  </si>
  <si>
    <t>m3/kg</t>
  </si>
  <si>
    <t>Used for the steam nozzle velocity check: velocity = steam flow x v_g / nozzle area.</t>
  </si>
  <si>
    <t>Consistency check  h_g - (h_f + h_fg)</t>
  </si>
  <si>
    <t>Should be ~ 0 (rounding only).</t>
  </si>
  <si>
    <t>STAND-ALONE INTERPOLATION CALCULATOR</t>
  </si>
  <si>
    <t>Pressure of interest</t>
  </si>
  <si>
    <t>Editable. Valid 1-10 bar(a).</t>
  </si>
  <si>
    <t>Row index k*</t>
  </si>
  <si>
    <t>Bracketing row (largest table pressure &lt;= P*).</t>
  </si>
  <si>
    <t>Fraction f* = (P*-P1)/(P2-P1)</t>
  </si>
  <si>
    <t>Saturation temperature*</t>
  </si>
  <si>
    <t>Sat. liquid enthalpy h_f*</t>
  </si>
  <si>
    <t>Latent heat h_fg*</t>
  </si>
  <si>
    <t>Sat. vapour enthalpy h_g*</t>
  </si>
  <si>
    <t>Sat. vapour specific volume v_g*</t>
  </si>
  <si>
    <t>SATURATED STEAM TABLE (REFERENCE DATA)</t>
  </si>
  <si>
    <t>P (bar a)</t>
  </si>
  <si>
    <t>T_sat (degC)</t>
  </si>
  <si>
    <t>h_f (kJ/kg)</t>
  </si>
  <si>
    <t>h_fg (kJ/kg)</t>
  </si>
  <si>
    <t>h_g (kJ/kg)</t>
  </si>
  <si>
    <t>v_g (m3/kg)</t>
  </si>
  <si>
    <t>Source: IAPWS-IF97 industrial formulation (Wagner &amp; Kretzschmar, International Steam Tables, 2nd ed., 2008), the same values as the cross-sectional model. Rows at 11 and 12 bar</t>
  </si>
  <si>
    <t>exist only so interpolation stays defined up to 10 bar; the stated valid range is 1-10 bar(a).</t>
  </si>
  <si>
    <t>NODE-BY-NODE FINITE DIFFERENCE CALCULATIONS</t>
  </si>
  <si>
    <t>Each row is one node; every node applies a steady-state mass, solids and energy balance to the previous node (marching inlet -&gt; outlet).</t>
  </si>
  <si>
    <t>Node 0 is the inlet boundary condition. Everything below is a formula referencing sheets 1 and 2 — no hard-coded numbers.</t>
  </si>
  <si>
    <t>DERIVED MODEL PARAMETERS (CALCULATED — DO NOT EDIT)</t>
  </si>
  <si>
    <t>Node spacing = pipe length / node count</t>
  </si>
  <si>
    <t>Pipe cross-section area = pi x diameter^2 / 4</t>
  </si>
  <si>
    <t>m2</t>
  </si>
  <si>
    <t>Nozzle cross-section area = pi x bore^2 / 4</t>
  </si>
  <si>
    <t>Milk mass flow = density x pipe area x velocity</t>
  </si>
  <si>
    <t>kg/s</t>
  </si>
  <si>
    <t>Steam mass flow = steam flow [kg/h] / 3600</t>
  </si>
  <si>
    <t>Solids mass flow = milk flow x inlet solids (constant)</t>
  </si>
  <si>
    <t>Inlet enthalpy flow = milk flow x c_p x inlet temperature (datum 0 degC)</t>
  </si>
  <si>
    <t>kW</t>
  </si>
  <si>
    <t>Injection node index = ROUNDUP(injection position / node spacing) (informational)</t>
  </si>
  <si>
    <t>NODE TABLE</t>
  </si>
  <si>
    <t>Node i</t>
  </si>
  <si>
    <t>Distance x</t>
  </si>
  <si>
    <t>Steam added at node</t>
  </si>
  <si>
    <t>Cum. steam condensed</t>
  </si>
  <si>
    <t>Milk feed flow</t>
  </si>
  <si>
    <t>Total mass flow</t>
  </si>
  <si>
    <t>Solids mass flow</t>
  </si>
  <si>
    <t>Water mass flow</t>
  </si>
  <si>
    <t>Solids concentration</t>
  </si>
  <si>
    <t>Enthalpy flow</t>
  </si>
  <si>
    <t>Specific enthalpy</t>
  </si>
  <si>
    <t>Temperature</t>
  </si>
  <si>
    <t>Energy balance check</t>
  </si>
  <si>
    <t>kW (=0)</t>
  </si>
  <si>
    <t>Steam added: IF this node's interval contains the injection position, the whole steam flow is added, else 0.</t>
  </si>
  <si>
    <t>Cumulative steam: running total.        Total mass flow: milk feed + cumulative steam (steady state, no accumulation).</t>
  </si>
  <si>
    <t>Solids mass flow: constant (solids inert).      Solids concentration: solids flow / total flow.</t>
  </si>
  <si>
    <t>Enthalpy flow: previous + steam added x saturated vapour enthalpy (adiabatic). Datum: liquid at 0 degC.</t>
  </si>
  <si>
    <t>Specific enthalpy = enthalpy flow / total flow; Temperature = specific enthalpy / c_p (milk as water, constant c_p).</t>
  </si>
  <si>
    <t>Energy balance check restates the node balance — must be 0 at every node.</t>
  </si>
  <si>
    <t>RESULTS SUMMARY</t>
  </si>
  <si>
    <t>OUTLET CONDITIONS</t>
  </si>
  <si>
    <t>Quantity</t>
  </si>
  <si>
    <t>Basis / equation</t>
  </si>
  <si>
    <t>Outlet temperature</t>
  </si>
  <si>
    <t>C</t>
  </si>
  <si>
    <t>Temperature at the last node</t>
  </si>
  <si>
    <t>Temperature rise (outlet - inlet)</t>
  </si>
  <si>
    <t>Sensible heating achieved by steam condensation.</t>
  </si>
  <si>
    <t>Outlet total mass flow</t>
  </si>
  <si>
    <t>Milk feed + condensed steam.</t>
  </si>
  <si>
    <t>Outlet solids concentration</t>
  </si>
  <si>
    <t>Outlet milk velocity = flow / (density x area)</t>
  </si>
  <si>
    <t>Steam nozzle velocity = steam flow x v_g / nozzle area</t>
  </si>
  <si>
    <t>STEAM / WATER ADDED</t>
  </si>
  <si>
    <t>Total steam condensed</t>
  </si>
  <si>
    <t>WATER REMOVAL REQUIRED (EVAPORATION DUTY)</t>
  </si>
  <si>
    <t>Water to evaporate = outlet flow - flow after evaporation</t>
  </si>
  <si>
    <t>With target = inlet solids this equals exactly the steam condensed (whole-model check).</t>
  </si>
  <si>
    <t>Water to evaporate</t>
  </si>
  <si>
    <t>SI units.</t>
  </si>
  <si>
    <t>ENERGY</t>
  </si>
  <si>
    <t>Enthalpy flow at inlet</t>
  </si>
  <si>
    <t>Milk flow x c_p x inlet temperature (datum 0 degC).</t>
  </si>
  <si>
    <t>Enthalpy flow at outlet</t>
  </si>
  <si>
    <t>Last node of the energy balance.</t>
  </si>
  <si>
    <t>Enthalpy added by steam = steam flow x h_g</t>
  </si>
  <si>
    <t>Total enthalpy carried in by the steam.</t>
  </si>
  <si>
    <t>Heat transferred to milk = steam flow x (h_g - c_p x outlet T)</t>
  </si>
  <si>
    <t>Latent heat + condensate sensible heat down to the outlet temperature.</t>
  </si>
  <si>
    <t xml:space="preserve"> latent = steam flow x h_fg</t>
  </si>
  <si>
    <t>Latent contribution.</t>
  </si>
  <si>
    <t>FLOW REGIME &amp; NOZZLE DIAGNOSTICS</t>
  </si>
  <si>
    <t>Flow regime (Reynolds number)</t>
  </si>
  <si>
    <t>Water dynamic viscosity at inlet temperature</t>
  </si>
  <si>
    <t>Pa.s</t>
  </si>
  <si>
    <t>Vogel correlation for water, valid 0-100 degC. Milk treated as water.</t>
  </si>
  <si>
    <t>Water dynamic viscosity at outlet temperature</t>
  </si>
  <si>
    <t>Same correlation at the outlet temperature.</t>
  </si>
  <si>
    <t>Reynolds number at inlet (cold)</t>
  </si>
  <si>
    <t>Re = rho x velocity x diameter / viscosity.</t>
  </si>
  <si>
    <t>Reynolds number at outlet (hot)</t>
  </si>
  <si>
    <t>Outlet velocity and viscosity; Re is highest here.</t>
  </si>
  <si>
    <t>Flow regime at inlet</t>
  </si>
  <si>
    <t>Re&lt;2300 laminar; 2300-4000 transitional; &gt;4000 turbulent.</t>
  </si>
  <si>
    <t>Flow regime at outlet</t>
  </si>
  <si>
    <t>Same thresholds at the hot end.</t>
  </si>
  <si>
    <t>Choked steam velocity and nozzle limit</t>
  </si>
  <si>
    <t>Stagnation temperature, T0</t>
  </si>
  <si>
    <t>K</t>
  </si>
  <si>
    <t>Steam saturation temperature at supply pressure, in kelvin.</t>
  </si>
  <si>
    <t>Superficial velocity the demand would need at the nozzle</t>
  </si>
  <si>
    <t>Mass flow x v_g / nozzle area. Above V* =&gt; the nozzle chokes.</t>
  </si>
  <si>
    <t>Supply pressure, p0</t>
  </si>
  <si>
    <t>Pa</t>
  </si>
  <si>
    <t>Absolute supply pressure in SI units.</t>
  </si>
  <si>
    <t>kg/(m2.s)</t>
  </si>
  <si>
    <t>Choked (MAXIMUM) steam flow the nozzle can pass</t>
  </si>
  <si>
    <t>Steam flow DEMANDED (model input)</t>
  </si>
  <si>
    <t>Flow the energy balance assumes is delivered.</t>
  </si>
  <si>
    <t>Can the nozzle pass the demand?</t>
  </si>
  <si>
    <t>Choked max vs demanded flow.</t>
  </si>
  <si>
    <t>Fraction of demand actually deliverable</t>
  </si>
  <si>
    <t>Below 1 means the milk is steam-starved.</t>
  </si>
  <si>
    <t>Outlet temperature actually achievable if choke-limited</t>
  </si>
  <si>
    <t>Mixed temperature using the choked flow instead of the demanded flow.</t>
  </si>
  <si>
    <t>Bore needed to pass the demand at this pressure</t>
  </si>
  <si>
    <t>mm</t>
  </si>
  <si>
    <t>Area = demand / G*, as a diameter.</t>
  </si>
  <si>
    <t>Supply pressure needed to pass the demand at 5 mm</t>
  </si>
  <si>
    <t>Approx: choked flow scales with p0 (Napier).</t>
  </si>
  <si>
    <t>STEAM DEMAND CALCULATOR (REVERSE PROBLEM)</t>
  </si>
  <si>
    <t>TARGET</t>
  </si>
  <si>
    <t>Target outlet milk temperature</t>
  </si>
  <si>
    <t>SIZING RESULTS</t>
  </si>
  <si>
    <t>Required steam flow</t>
  </si>
  <si>
    <t>Closed-form energy balance</t>
  </si>
  <si>
    <t>Copy this value to '1 Inputs' steam mass flow to run the full model at this duty.</t>
  </si>
  <si>
    <t>Steam-to-milk ratio</t>
  </si>
  <si>
    <t>Rule-of-thumb check: ~1% steam per ~6 K rise.</t>
  </si>
  <si>
    <t>Resulting outlet mass flow</t>
  </si>
  <si>
    <t>Milk flow + required steam flow.</t>
  </si>
  <si>
    <t>Resulting outlet solids concentration</t>
  </si>
  <si>
    <t>Dilution at the sized steam rate.</t>
  </si>
  <si>
    <t>Water to evaporate at this duty</t>
  </si>
  <si>
    <t>Outlet flow - solids flow / target solids; equals the required steam flow when target = inlet solids.</t>
  </si>
  <si>
    <t>Nozzle velocity at required flow</t>
  </si>
  <si>
    <t>Required flow x v_g / nozzle area. Compare against the sonic limit.</t>
  </si>
  <si>
    <t>FEASIBILITY CHECKS</t>
  </si>
  <si>
    <t>Target above inlet temperature</t>
  </si>
  <si>
    <t>Steam injection can only heat.</t>
  </si>
  <si>
    <t>Target below steam temperature</t>
  </si>
  <si>
    <t>A condensing injector can never heat the milk above the steam saturation temperature; approaching it demands rapidly increasing steam flow.</t>
  </si>
  <si>
    <t>Nozzle below choking limit at required flow</t>
  </si>
  <si>
    <t>MODEL DOCUMENTATION — EQUATIONS, ASSUMPTIONS, EXTENSION GUIDE</t>
  </si>
  <si>
    <t>1. ASSUMPTIONS (each is required by at least one equation below)</t>
  </si>
  <si>
    <t>One-dimensional plug flow, one value per node, uniform over each cross-section.</t>
  </si>
  <si>
    <t>Steady state, no accumulation terms (d/dt = 0).</t>
  </si>
  <si>
    <t>Milk treated thermodynamically as pure water — c_p, density of water; fats/proteins/solids ignored in the energy balance.</t>
  </si>
  <si>
    <t>No pressure drop; constant pipe diameter; uniform velocity.</t>
  </si>
  <si>
    <t>Adiabatic pipe — no heat-loss term.</t>
  </si>
  <si>
    <t>Steam condenses immediately at the injection point with complete mixing — all steam enters one node.</t>
  </si>
  <si>
    <t>Dry saturated steam at supply pressure — properties from the table on sheet 2.</t>
  </si>
  <si>
    <t>Kinetic and potential energy neglected — enthalpy is the only energy carrier.</t>
  </si>
  <si>
    <t>Milk solids inert and conserved — constant solids mass flow.</t>
  </si>
  <si>
    <t>3. FEED SPECIFICATION BY VELOCITY</t>
  </si>
  <si>
    <t>The rig sets the milk line velocity, so the feed is specified as a velocity (capped at 1 m/s by the rig) and converted to mass flow by</t>
  </si>
  <si>
    <t>continuity for an incompressible liquid in a constant-area pipe:   mass flow = density x area x velocity,   area = pi x D^2/4.</t>
  </si>
  <si>
    <t>The outlet velocity is slightly higher than the inlet because condensed steam adds mass (density held constant, A3/A4).</t>
  </si>
  <si>
    <t>4. DISCRETISATION (finite difference marching scheme)</t>
  </si>
  <si>
    <t>Pipe of length L divided into N equal intervals, dx = L/N, nodes i = 0..N; node 0 = inlet boundary condition. Steady-state and first-order</t>
  </si>
  <si>
    <t>in x, so each node follows explicitly from the previous one — no iteration. The scheme is exact for step inputs, hence grid-independent for</t>
  </si>
  <si>
    <t>this model; N matters once distributed phenomena (finite-rate condensation, heat loss, friction) are added.</t>
  </si>
  <si>
    <t>5. GOVERNING EQUATIONS (node i; i-1 is the upstream node)</t>
  </si>
  <si>
    <t>5.1 Mass:      m_i = m_(i-1) + dm_s,i ;  single-point injection: dm_s,i = full steam flow if the node interval contains the injection point.</t>
  </si>
  <si>
    <t>5.2 Solids:    solids flow = milk flow x inlet solids = constant ;  concentration = solids flow / total flow ;  water by difference.</t>
  </si>
  <si>
    <t>5.3 Energy:    H_i = H_(i-1) + dm_s,i x h_g  (first law, open steady-flow system, adiabatic, KE/PE neglected).</t>
  </si>
  <si>
    <t xml:space="preserve">               h_i = H_i/m_i ;  T_i = h_i/c_p  (liquid sensible-heat model h = c_p x T, datum 0 degC).</t>
  </si>
  <si>
    <t xml:space="preserve">               This captures BOTH the latent heat h_fg and the sensible heat of the condensate cooling from saturation to the mixed</t>
  </si>
  <si>
    <t xml:space="preserve">               temperature, because h_g = h_f + h_fg and h_f ~ c_p x T_sat.</t>
  </si>
  <si>
    <t>5.4 Evaporation duty:  target solids x final flow = solids flow  =&gt;  final flow = solids flow / target ;  water out = outlet - final.</t>
  </si>
  <si>
    <t xml:space="preserve">               With target = inlet solids, the water to evaporate equals exactly the steam condensed — a whole-model consistency check.</t>
  </si>
  <si>
    <t>6. STEAM PROPERTY INTERPOLATION</t>
  </si>
  <si>
    <t>Saturated properties vary smoothly with pressure, so LINEAR interpolation between adjacent table rows is standard and accurate (&lt;0.1% over</t>
  </si>
  <si>
    <t>0.5-1 bar steps):   y(P) = y1 + f x (y2 - y1),   f = (P - P1)/(P2 - P1),   with P1 &lt;= P &lt; P2 the bracketing rows.</t>
  </si>
  <si>
    <t>Worked example at P = 2.7 bar(a): bracketing rows 2.5 and 3.0 bar =&gt; f = (2.7-2.5)/(3.0-2.5) = 0.40.</t>
  </si>
  <si>
    <t xml:space="preserve">   T_sat = 127.44 + 0.40 x (133.55-127.44) = 129.88 degC ;   h_g = 2716.9 + 0.40 x (2725.3-2716.9) = 2720.3 kJ/kg.</t>
  </si>
  <si>
    <t>Sheet 2 performs this automatically for the model pressure AND provides a stand-alone calculator block for any other pressure (lab data).</t>
  </si>
  <si>
    <t>7. STEAM DEMAND (REVERSE PROBLEM, SHEET 5)</t>
  </si>
  <si>
    <t>Energy balance around the injector solved for the steam flow that yields a target outlet temperature:</t>
  </si>
  <si>
    <t xml:space="preserve">   milk x c_p x T_in + steam x h_g = (milk + steam) x c_p x T_tgt   =&gt;   steam = milk x c_p x (T_tgt - T_in)/(h_g - c_p x T_tgt).</t>
  </si>
  <si>
    <t>Physical limit: the mixture can never exceed the steam saturation temperature, so T_tgt &lt; T_sat is required; the demand grows rapidly as</t>
  </si>
  <si>
    <t>T_tgt approaches T_sat. To sterilise at 138 degC the steam pressure itself must exceed Psat(138 degC) ~ 3.4 bar(a).</t>
  </si>
  <si>
    <t>8. STEAM NOZZLE VELOCITY / CHOKING CHECK</t>
  </si>
  <si>
    <t>Superficial vapour velocity through the injection nozzle: velocity = steam flow x v_g / nozzle area. A converging nozzle cannot pass vapour</t>
  </si>
  <si>
    <t>physically achievable regardless of upstream pressure margin. The check on sheets 1/4/5 flags this. Remedies: larger nozzle bore, higher</t>
  </si>
  <si>
    <t>supply pressure (denser vapour, lower v_g), or lower steam demand (lower milk flow / lower target temperature).</t>
  </si>
  <si>
    <t>9. THERMAL PROCESS VERIFICATION (INFORMATIONAL)</t>
  </si>
  <si>
    <t>Holding time downstream of the injection point at plug flow: t = (length - injection position)/outlet velocity. Classification against</t>
  </si>
  <si>
    <t>standard dairy criteria:   Sterilised (UHT): &gt;= 138 degC AND &gt;= 2 s.   Pasteurised (HTST): &gt;= 72 degC AND &gt;= 15 s.</t>
  </si>
  <si>
    <t>Both thresholds are editable inputs. The check does not alter the model. Note: outlet temperatures above 100 degC also require the line to</t>
  </si>
  <si>
    <t>be back-pressurised above Psat(T_out) to prevent flashing — satisfied automatically if line pressure = steam pressure and T_out &lt; T_sat.</t>
  </si>
  <si>
    <t>10. ENTHALPY DATUM</t>
  </si>
  <si>
    <t>Liquid water at 0 degC (h = c_p x T). Steam-table enthalpies are referenced to the triple point (0.01 degC) — consistent to &lt;0.1%.</t>
  </si>
  <si>
    <t>11. VERIFICATION BUILT IN</t>
  </si>
  <si>
    <t xml:space="preserve">  - Sheet 3 last column: node-by-node energy closure (0 at every node).</t>
  </si>
  <si>
    <t xml:space="preserve">  - Sheet 4 closure checks: overall mass, energy, solids balances (~0).</t>
  </si>
  <si>
    <t xml:space="preserve">  - Sheet 2: h_g - (h_f + h_fg) consistency check.</t>
  </si>
  <si>
    <t xml:space="preserve">  - Sheet 1: validity checks (velocity cap, pressure range, injection position, target solids, nozzle choking).</t>
  </si>
  <si>
    <t xml:space="preserve">  - Sheet 5: feasibility checks on the sized steam demand.</t>
  </si>
  <si>
    <t>12. HOW TO CHANGE THE NUMBER OF NODES</t>
  </si>
  <si>
    <t xml:space="preserve">  1) Set the node count on '1 Inputs' (node spacing updates automatically).</t>
  </si>
  <si>
    <t xml:space="preserve">  2) On sheet 3, select the last data row (currently row 123) and fill DOWN until Distance = pipe length (N+1 data rows).</t>
  </si>
  <si>
    <t xml:space="preserve">  3) Update the three chart series on sheet 6 and the outlet-row references on sheets 1 and 4 to the new last row.</t>
  </si>
  <si>
    <t>13. EXTENSION GUIDE (designed-in modularity)</t>
  </si>
  <si>
    <t xml:space="preserve">  - Finite-rate condensation: replace the IF() in the steam-added column with a rate expression distributing the flow over several nodes.</t>
  </si>
  <si>
    <t xml:space="preserve">  - Heat loss: subtract U x pi x D x dx x (T_(i-1) - T_ambient)/1000 in the enthalpy-flow column, with U and T_ambient as new inputs.</t>
  </si>
  <si>
    <t xml:space="preserve">  - Pressure drop: add a pressure column marching P_i = P_(i-1) - f x (dx/D) x (rho u^2/2) and make steam properties local if needed.</t>
  </si>
  <si>
    <t xml:space="preserve">  - Real milk properties: replace the constant c_p with a composition-dependent correlation (e.g. Choi-Okos) per node.</t>
  </si>
  <si>
    <t>14. REFERENCES</t>
  </si>
  <si>
    <t xml:space="preserve">  - Wagner, W. &amp; Kretzschmar, H.-J., 'International Steam Tables: Properties of Water and Steam based on the Industrial Formulation IAPWS-IF97', 2nd ed., Springer, 2008 (saturated steam table incl. v_g).</t>
  </si>
  <si>
    <t xml:space="preserve">  - Cengel, Y.A. &amp; Boles, M.A., 'Thermodynamics: An Engineering Approach' (steady-flow energy equation; choked nozzle flow).</t>
  </si>
  <si>
    <t xml:space="preserve">  - Standard dairy processing criteria for HTST pasteurisation (72 degC/15 s) and UHT sterilisation (&gt;=138 degC/2 s).</t>
  </si>
  <si>
    <t>Steam nozzle discharge coefficient, C_d</t>
  </si>
  <si>
    <t>Plain steam orifice; same value as the cross-sectional model. Used for the choked capacity on '4 Results'.</t>
  </si>
  <si>
    <t>Initial assumed single-orifice bore (5 mm), not a rig measurement. Used for the choked-capacity check on '4 Results'.</t>
  </si>
  <si>
    <t>Isentropic exponent of dry saturated steam, k</t>
  </si>
  <si>
    <t>k = 1.135 for dry saturated steam (Eastop &amp; McConkey); same as the cross-sectional model.</t>
  </si>
  <si>
    <t>Saturated vapour density at supply, rho0 = 1/v_g</t>
  </si>
  <si>
    <t>Real steam density from the IAPWS-IF97 table (replaces the ideal-gas R.T0).</t>
  </si>
  <si>
    <t>Choked (sonic) velocity at the throat, a*</t>
  </si>
  <si>
    <t>a* = sqrt[ k p0/rho0 x 2/(k+1) ], the throat sound speed (same form as the cross-sectional model).</t>
  </si>
  <si>
    <t>Choked mass flux, G = C_d x rho* x a*</t>
  </si>
  <si>
    <t>G = C_d x sqrt[ k p0 rho0 (2/(k+1))^((k+1)/(k-1)) ], identical to the cross-sectional model.</t>
  </si>
  <si>
    <t>G x nozzle area. Ceiling on steam through one orifice of this bore at this pressure.</t>
  </si>
  <si>
    <t>Checks the required flow against the choked capacity of the nozzle on '4 Results'.</t>
  </si>
  <si>
    <t>faster than the local sonic velocity (about 450 m/s for dry saturated steam at 6 bar(a)): beyond that it CHOKES and the assumed steam flow is not</t>
  </si>
  <si>
    <t>HOW TO READ THIS: at 6 bar(a) a single 5 mm orifice chokes at about 53 kg/h, only 3% of the 1,590 kg/h duty, so the milk would reach only about 8 degC. A single 27.5 mm bore, or several orifices with the same total area, is needed (values above update with the inputs; this note does not).</t>
  </si>
  <si>
    <t>Node spacing = length / nodes. To change the node count see '6 Documentation'.</t>
  </si>
  <si>
    <t>Column formula documentation (full derivations on '6 Documentation'):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</si>
</sst>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0.0%"/>
    <numFmt numFmtId="167" formatCode="#,##0.0"/>
    <numFmt numFmtId="168" formatCode="0.0000"/>
    <numFmt numFmtId="169" formatCode="0.00000"/>
    <numFmt numFmtId="170" formatCode="0.000000"/>
    <numFmt numFmtId="171" formatCode="0.00000000"/>
    <numFmt numFmtId="172" formatCode="0.000E+00"/>
  </numFmts>
  <fonts count="9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i/>
      <sz val="8"/>
      <color rgb="FF595959"/>
      <name val="Arial"/>
      <family val="2"/>
    </font>
    <font>
      <sz val="9"/>
      <name val="Arial"/>
      <family val="2"/>
    </font>
    <font>
      <i/>
      <sz val="9"/>
      <color rgb="FF40404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rgb="FF0000C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7"/>
        <bgColor rgb="FFFFFFCC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2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166" fontId="7" fillId="2" borderId="1" xfId="0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7" fillId="2" borderId="1" xfId="0" applyNumberFormat="1" applyFont="1" applyFill="1" applyBorder="1" applyAlignment="1">
      <alignment horizontal="right" vertical="center"/>
    </xf>
    <xf numFmtId="1" fontId="7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9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1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72" fontId="6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170" fontId="6" fillId="0" borderId="1" xfId="0" applyNumberFormat="1" applyFont="1" applyBorder="1" applyAlignment="1">
      <alignment horizontal="right" vertical="center"/>
    </xf>
    <xf numFmtId="172" fontId="6" fillId="0" borderId="0" xfId="0" applyNumberFormat="1" applyFont="1"/>
    <xf numFmtId="172" fontId="3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8" fillId="0" borderId="1" xfId="0" applyFont="1" applyBorder="1"/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F2F7"/>
      <rgbColor rgb="FFFF0000"/>
      <rgbColor rgb="FF00FF00"/>
      <rgbColor rgb="FF0000C0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1538F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Temperature vs Distance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Temperature (degC)</c:v>
          </c:tx>
          <c:spPr>
            <a:ln w="20160">
              <a:solidFill>
                <a:srgbClr val="31538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 Node Calculations'!$B$19:$B$119</c:f>
              <c:numCache>
                <c:formatCode>0.00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</c:numCache>
            </c:numRef>
          </c:xVal>
          <c:yVal>
            <c:numRef>
              <c:f>'3 Node Calculations'!$L$19:$L$119</c:f>
              <c:numCache>
                <c:formatCode>0.00</c:formatCode>
                <c:ptCount val="101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71.957860419068012</c:v>
                </c:pt>
                <c:pt idx="11">
                  <c:v>71.957860419068012</c:v>
                </c:pt>
                <c:pt idx="12">
                  <c:v>71.957860419068012</c:v>
                </c:pt>
                <c:pt idx="13">
                  <c:v>71.957860419068012</c:v>
                </c:pt>
                <c:pt idx="14">
                  <c:v>71.957860419068012</c:v>
                </c:pt>
                <c:pt idx="15">
                  <c:v>71.957860419068012</c:v>
                </c:pt>
                <c:pt idx="16">
                  <c:v>71.957860419068012</c:v>
                </c:pt>
                <c:pt idx="17">
                  <c:v>71.957860419068012</c:v>
                </c:pt>
                <c:pt idx="18">
                  <c:v>71.957860419068012</c:v>
                </c:pt>
                <c:pt idx="19">
                  <c:v>71.957860419068012</c:v>
                </c:pt>
                <c:pt idx="20">
                  <c:v>71.957860419068012</c:v>
                </c:pt>
                <c:pt idx="21">
                  <c:v>71.957860419068012</c:v>
                </c:pt>
                <c:pt idx="22">
                  <c:v>71.957860419068012</c:v>
                </c:pt>
                <c:pt idx="23">
                  <c:v>71.957860419068012</c:v>
                </c:pt>
                <c:pt idx="24">
                  <c:v>71.957860419068012</c:v>
                </c:pt>
                <c:pt idx="25">
                  <c:v>71.957860419068012</c:v>
                </c:pt>
                <c:pt idx="26">
                  <c:v>71.957860419068012</c:v>
                </c:pt>
                <c:pt idx="27">
                  <c:v>71.957860419068012</c:v>
                </c:pt>
                <c:pt idx="28">
                  <c:v>71.957860419068012</c:v>
                </c:pt>
                <c:pt idx="29">
                  <c:v>71.957860419068012</c:v>
                </c:pt>
                <c:pt idx="30">
                  <c:v>71.957860419068012</c:v>
                </c:pt>
                <c:pt idx="31">
                  <c:v>71.957860419068012</c:v>
                </c:pt>
                <c:pt idx="32">
                  <c:v>71.957860419068012</c:v>
                </c:pt>
                <c:pt idx="33">
                  <c:v>71.957860419068012</c:v>
                </c:pt>
                <c:pt idx="34">
                  <c:v>71.957860419068012</c:v>
                </c:pt>
                <c:pt idx="35">
                  <c:v>71.957860419068012</c:v>
                </c:pt>
                <c:pt idx="36">
                  <c:v>71.957860419068012</c:v>
                </c:pt>
                <c:pt idx="37">
                  <c:v>71.957860419068012</c:v>
                </c:pt>
                <c:pt idx="38">
                  <c:v>71.957860419068012</c:v>
                </c:pt>
                <c:pt idx="39">
                  <c:v>71.957860419068012</c:v>
                </c:pt>
                <c:pt idx="40">
                  <c:v>71.957860419068012</c:v>
                </c:pt>
                <c:pt idx="41">
                  <c:v>71.957860419068012</c:v>
                </c:pt>
                <c:pt idx="42">
                  <c:v>71.957860419068012</c:v>
                </c:pt>
                <c:pt idx="43">
                  <c:v>71.957860419068012</c:v>
                </c:pt>
                <c:pt idx="44">
                  <c:v>71.957860419068012</c:v>
                </c:pt>
                <c:pt idx="45">
                  <c:v>71.957860419068012</c:v>
                </c:pt>
                <c:pt idx="46">
                  <c:v>71.957860419068012</c:v>
                </c:pt>
                <c:pt idx="47">
                  <c:v>71.957860419068012</c:v>
                </c:pt>
                <c:pt idx="48">
                  <c:v>71.957860419068012</c:v>
                </c:pt>
                <c:pt idx="49">
                  <c:v>71.957860419068012</c:v>
                </c:pt>
                <c:pt idx="50">
                  <c:v>71.957860419068012</c:v>
                </c:pt>
                <c:pt idx="51">
                  <c:v>71.957860419068012</c:v>
                </c:pt>
                <c:pt idx="52">
                  <c:v>71.957860419068012</c:v>
                </c:pt>
                <c:pt idx="53">
                  <c:v>71.957860419068012</c:v>
                </c:pt>
                <c:pt idx="54">
                  <c:v>71.957860419068012</c:v>
                </c:pt>
                <c:pt idx="55">
                  <c:v>71.957860419068012</c:v>
                </c:pt>
                <c:pt idx="56">
                  <c:v>71.957860419068012</c:v>
                </c:pt>
                <c:pt idx="57">
                  <c:v>71.957860419068012</c:v>
                </c:pt>
                <c:pt idx="58">
                  <c:v>71.957860419068012</c:v>
                </c:pt>
                <c:pt idx="59">
                  <c:v>71.957860419068012</c:v>
                </c:pt>
                <c:pt idx="60">
                  <c:v>71.957860419068012</c:v>
                </c:pt>
                <c:pt idx="61">
                  <c:v>71.957860419068012</c:v>
                </c:pt>
                <c:pt idx="62">
                  <c:v>71.957860419068012</c:v>
                </c:pt>
                <c:pt idx="63">
                  <c:v>71.957860419068012</c:v>
                </c:pt>
                <c:pt idx="64">
                  <c:v>71.957860419068012</c:v>
                </c:pt>
                <c:pt idx="65">
                  <c:v>71.957860419068012</c:v>
                </c:pt>
                <c:pt idx="66">
                  <c:v>71.957860419068012</c:v>
                </c:pt>
                <c:pt idx="67">
                  <c:v>71.957860419068012</c:v>
                </c:pt>
                <c:pt idx="68">
                  <c:v>71.957860419068012</c:v>
                </c:pt>
                <c:pt idx="69">
                  <c:v>71.957860419068012</c:v>
                </c:pt>
                <c:pt idx="70">
                  <c:v>71.957860419068012</c:v>
                </c:pt>
                <c:pt idx="71">
                  <c:v>71.957860419068012</c:v>
                </c:pt>
                <c:pt idx="72">
                  <c:v>71.957860419068012</c:v>
                </c:pt>
                <c:pt idx="73">
                  <c:v>71.957860419068012</c:v>
                </c:pt>
                <c:pt idx="74">
                  <c:v>71.957860419068012</c:v>
                </c:pt>
                <c:pt idx="75">
                  <c:v>71.957860419068012</c:v>
                </c:pt>
                <c:pt idx="76">
                  <c:v>71.957860419068012</c:v>
                </c:pt>
                <c:pt idx="77">
                  <c:v>71.957860419068012</c:v>
                </c:pt>
                <c:pt idx="78">
                  <c:v>71.957860419068012</c:v>
                </c:pt>
                <c:pt idx="79">
                  <c:v>71.957860419068012</c:v>
                </c:pt>
                <c:pt idx="80">
                  <c:v>71.957860419068012</c:v>
                </c:pt>
                <c:pt idx="81">
                  <c:v>71.957860419068012</c:v>
                </c:pt>
                <c:pt idx="82">
                  <c:v>71.957860419068012</c:v>
                </c:pt>
                <c:pt idx="83">
                  <c:v>71.957860419068012</c:v>
                </c:pt>
                <c:pt idx="84">
                  <c:v>71.957860419068012</c:v>
                </c:pt>
                <c:pt idx="85">
                  <c:v>71.957860419068012</c:v>
                </c:pt>
                <c:pt idx="86">
                  <c:v>71.957860419068012</c:v>
                </c:pt>
                <c:pt idx="87">
                  <c:v>71.957860419068012</c:v>
                </c:pt>
                <c:pt idx="88">
                  <c:v>71.957860419068012</c:v>
                </c:pt>
                <c:pt idx="89">
                  <c:v>71.957860419068012</c:v>
                </c:pt>
                <c:pt idx="90">
                  <c:v>71.957860419068012</c:v>
                </c:pt>
                <c:pt idx="91">
                  <c:v>71.957860419068012</c:v>
                </c:pt>
                <c:pt idx="92">
                  <c:v>71.957860419068012</c:v>
                </c:pt>
                <c:pt idx="93">
                  <c:v>71.957860419068012</c:v>
                </c:pt>
                <c:pt idx="94">
                  <c:v>71.957860419068012</c:v>
                </c:pt>
                <c:pt idx="95">
                  <c:v>71.957860419068012</c:v>
                </c:pt>
                <c:pt idx="96">
                  <c:v>71.957860419068012</c:v>
                </c:pt>
                <c:pt idx="97">
                  <c:v>71.957860419068012</c:v>
                </c:pt>
                <c:pt idx="98">
                  <c:v>71.957860419068012</c:v>
                </c:pt>
                <c:pt idx="99">
                  <c:v>71.957860419068012</c:v>
                </c:pt>
                <c:pt idx="100">
                  <c:v>71.957860419068012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5A-394B-9E27-E7879B22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1047"/>
        <c:axId val="37185287"/>
      </c:scatterChart>
      <c:valAx>
        <c:axId val="1014104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Distance along pipe x (m)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85287"/>
        <c:crosses val="autoZero"/>
        <c:crossBetween val="midCat"/>
      </c:valAx>
      <c:valAx>
        <c:axId val="37185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Temperature (degC)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41047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Mass Flow vs Distance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mass flow (kg/s)</c:v>
          </c:tx>
          <c:spPr>
            <a:ln w="20160">
              <a:solidFill>
                <a:srgbClr val="31538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 Node Calculations'!$B$19:$B$119</c:f>
              <c:numCache>
                <c:formatCode>0.00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</c:numCache>
            </c:numRef>
          </c:xVal>
          <c:yVal>
            <c:numRef>
              <c:f>'3 Node Calculations'!$F$19:$F$119</c:f>
              <c:numCache>
                <c:formatCode>0.00000</c:formatCode>
                <c:ptCount val="101"/>
                <c:pt idx="0">
                  <c:v>3.9269908169872418</c:v>
                </c:pt>
                <c:pt idx="1">
                  <c:v>3.9269908169872418</c:v>
                </c:pt>
                <c:pt idx="2">
                  <c:v>3.9269908169872418</c:v>
                </c:pt>
                <c:pt idx="3">
                  <c:v>3.9269908169872418</c:v>
                </c:pt>
                <c:pt idx="4">
                  <c:v>3.9269908169872418</c:v>
                </c:pt>
                <c:pt idx="5">
                  <c:v>3.9269908169872418</c:v>
                </c:pt>
                <c:pt idx="6">
                  <c:v>3.9269908169872418</c:v>
                </c:pt>
                <c:pt idx="7">
                  <c:v>3.9269908169872418</c:v>
                </c:pt>
                <c:pt idx="8">
                  <c:v>3.9269908169872418</c:v>
                </c:pt>
                <c:pt idx="9">
                  <c:v>3.9269908169872418</c:v>
                </c:pt>
                <c:pt idx="10">
                  <c:v>4.3686574836539087</c:v>
                </c:pt>
                <c:pt idx="11">
                  <c:v>4.3686574836539087</c:v>
                </c:pt>
                <c:pt idx="12">
                  <c:v>4.3686574836539087</c:v>
                </c:pt>
                <c:pt idx="13">
                  <c:v>4.3686574836539087</c:v>
                </c:pt>
                <c:pt idx="14">
                  <c:v>4.3686574836539087</c:v>
                </c:pt>
                <c:pt idx="15">
                  <c:v>4.3686574836539087</c:v>
                </c:pt>
                <c:pt idx="16">
                  <c:v>4.3686574836539087</c:v>
                </c:pt>
                <c:pt idx="17">
                  <c:v>4.3686574836539087</c:v>
                </c:pt>
                <c:pt idx="18">
                  <c:v>4.3686574836539087</c:v>
                </c:pt>
                <c:pt idx="19">
                  <c:v>4.3686574836539087</c:v>
                </c:pt>
                <c:pt idx="20">
                  <c:v>4.3686574836539087</c:v>
                </c:pt>
                <c:pt idx="21">
                  <c:v>4.3686574836539087</c:v>
                </c:pt>
                <c:pt idx="22">
                  <c:v>4.3686574836539087</c:v>
                </c:pt>
                <c:pt idx="23">
                  <c:v>4.3686574836539087</c:v>
                </c:pt>
                <c:pt idx="24">
                  <c:v>4.3686574836539087</c:v>
                </c:pt>
                <c:pt idx="25">
                  <c:v>4.3686574836539087</c:v>
                </c:pt>
                <c:pt idx="26">
                  <c:v>4.3686574836539087</c:v>
                </c:pt>
                <c:pt idx="27">
                  <c:v>4.3686574836539087</c:v>
                </c:pt>
                <c:pt idx="28">
                  <c:v>4.3686574836539087</c:v>
                </c:pt>
                <c:pt idx="29">
                  <c:v>4.3686574836539087</c:v>
                </c:pt>
                <c:pt idx="30">
                  <c:v>4.3686574836539087</c:v>
                </c:pt>
                <c:pt idx="31">
                  <c:v>4.3686574836539087</c:v>
                </c:pt>
                <c:pt idx="32">
                  <c:v>4.3686574836539087</c:v>
                </c:pt>
                <c:pt idx="33">
                  <c:v>4.3686574836539087</c:v>
                </c:pt>
                <c:pt idx="34">
                  <c:v>4.3686574836539087</c:v>
                </c:pt>
                <c:pt idx="35">
                  <c:v>4.3686574836539087</c:v>
                </c:pt>
                <c:pt idx="36">
                  <c:v>4.3686574836539087</c:v>
                </c:pt>
                <c:pt idx="37">
                  <c:v>4.3686574836539087</c:v>
                </c:pt>
                <c:pt idx="38">
                  <c:v>4.3686574836539087</c:v>
                </c:pt>
                <c:pt idx="39">
                  <c:v>4.3686574836539087</c:v>
                </c:pt>
                <c:pt idx="40">
                  <c:v>4.3686574836539087</c:v>
                </c:pt>
                <c:pt idx="41">
                  <c:v>4.3686574836539087</c:v>
                </c:pt>
                <c:pt idx="42">
                  <c:v>4.3686574836539087</c:v>
                </c:pt>
                <c:pt idx="43">
                  <c:v>4.3686574836539087</c:v>
                </c:pt>
                <c:pt idx="44">
                  <c:v>4.3686574836539087</c:v>
                </c:pt>
                <c:pt idx="45">
                  <c:v>4.3686574836539087</c:v>
                </c:pt>
                <c:pt idx="46">
                  <c:v>4.3686574836539087</c:v>
                </c:pt>
                <c:pt idx="47">
                  <c:v>4.3686574836539087</c:v>
                </c:pt>
                <c:pt idx="48">
                  <c:v>4.3686574836539087</c:v>
                </c:pt>
                <c:pt idx="49">
                  <c:v>4.3686574836539087</c:v>
                </c:pt>
                <c:pt idx="50">
                  <c:v>4.3686574836539087</c:v>
                </c:pt>
                <c:pt idx="51">
                  <c:v>4.3686574836539087</c:v>
                </c:pt>
                <c:pt idx="52">
                  <c:v>4.3686574836539087</c:v>
                </c:pt>
                <c:pt idx="53">
                  <c:v>4.3686574836539087</c:v>
                </c:pt>
                <c:pt idx="54">
                  <c:v>4.3686574836539087</c:v>
                </c:pt>
                <c:pt idx="55">
                  <c:v>4.3686574836539087</c:v>
                </c:pt>
                <c:pt idx="56">
                  <c:v>4.3686574836539087</c:v>
                </c:pt>
                <c:pt idx="57">
                  <c:v>4.3686574836539087</c:v>
                </c:pt>
                <c:pt idx="58">
                  <c:v>4.3686574836539087</c:v>
                </c:pt>
                <c:pt idx="59">
                  <c:v>4.3686574836539087</c:v>
                </c:pt>
                <c:pt idx="60">
                  <c:v>4.3686574836539087</c:v>
                </c:pt>
                <c:pt idx="61">
                  <c:v>4.3686574836539087</c:v>
                </c:pt>
                <c:pt idx="62">
                  <c:v>4.3686574836539087</c:v>
                </c:pt>
                <c:pt idx="63">
                  <c:v>4.3686574836539087</c:v>
                </c:pt>
                <c:pt idx="64">
                  <c:v>4.3686574836539087</c:v>
                </c:pt>
                <c:pt idx="65">
                  <c:v>4.3686574836539087</c:v>
                </c:pt>
                <c:pt idx="66">
                  <c:v>4.3686574836539087</c:v>
                </c:pt>
                <c:pt idx="67">
                  <c:v>4.3686574836539087</c:v>
                </c:pt>
                <c:pt idx="68">
                  <c:v>4.3686574836539087</c:v>
                </c:pt>
                <c:pt idx="69">
                  <c:v>4.3686574836539087</c:v>
                </c:pt>
                <c:pt idx="70">
                  <c:v>4.3686574836539087</c:v>
                </c:pt>
                <c:pt idx="71">
                  <c:v>4.3686574836539087</c:v>
                </c:pt>
                <c:pt idx="72">
                  <c:v>4.3686574836539087</c:v>
                </c:pt>
                <c:pt idx="73">
                  <c:v>4.3686574836539087</c:v>
                </c:pt>
                <c:pt idx="74">
                  <c:v>4.3686574836539087</c:v>
                </c:pt>
                <c:pt idx="75">
                  <c:v>4.3686574836539087</c:v>
                </c:pt>
                <c:pt idx="76">
                  <c:v>4.3686574836539087</c:v>
                </c:pt>
                <c:pt idx="77">
                  <c:v>4.3686574836539087</c:v>
                </c:pt>
                <c:pt idx="78">
                  <c:v>4.3686574836539087</c:v>
                </c:pt>
                <c:pt idx="79">
                  <c:v>4.3686574836539087</c:v>
                </c:pt>
                <c:pt idx="80">
                  <c:v>4.3686574836539087</c:v>
                </c:pt>
                <c:pt idx="81">
                  <c:v>4.3686574836539087</c:v>
                </c:pt>
                <c:pt idx="82">
                  <c:v>4.3686574836539087</c:v>
                </c:pt>
                <c:pt idx="83">
                  <c:v>4.3686574836539087</c:v>
                </c:pt>
                <c:pt idx="84">
                  <c:v>4.3686574836539087</c:v>
                </c:pt>
                <c:pt idx="85">
                  <c:v>4.3686574836539087</c:v>
                </c:pt>
                <c:pt idx="86">
                  <c:v>4.3686574836539087</c:v>
                </c:pt>
                <c:pt idx="87">
                  <c:v>4.3686574836539087</c:v>
                </c:pt>
                <c:pt idx="88">
                  <c:v>4.3686574836539087</c:v>
                </c:pt>
                <c:pt idx="89">
                  <c:v>4.3686574836539087</c:v>
                </c:pt>
                <c:pt idx="90">
                  <c:v>4.3686574836539087</c:v>
                </c:pt>
                <c:pt idx="91">
                  <c:v>4.3686574836539087</c:v>
                </c:pt>
                <c:pt idx="92">
                  <c:v>4.3686574836539087</c:v>
                </c:pt>
                <c:pt idx="93">
                  <c:v>4.3686574836539087</c:v>
                </c:pt>
                <c:pt idx="94">
                  <c:v>4.3686574836539087</c:v>
                </c:pt>
                <c:pt idx="95">
                  <c:v>4.3686574836539087</c:v>
                </c:pt>
                <c:pt idx="96">
                  <c:v>4.3686574836539087</c:v>
                </c:pt>
                <c:pt idx="97">
                  <c:v>4.3686574836539087</c:v>
                </c:pt>
                <c:pt idx="98">
                  <c:v>4.3686574836539087</c:v>
                </c:pt>
                <c:pt idx="99">
                  <c:v>4.3686574836539087</c:v>
                </c:pt>
                <c:pt idx="100">
                  <c:v>4.3686574836539087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EE-ED48-90B8-52B5F9728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299"/>
        <c:axId val="7684395"/>
      </c:scatterChart>
      <c:valAx>
        <c:axId val="379032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Distance along pipe x (m)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4395"/>
        <c:crosses val="autoZero"/>
        <c:crossBetween val="midCat"/>
      </c:valAx>
      <c:valAx>
        <c:axId val="76843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Total mass flow (kg/s)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03299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Solids Concentration vs Distance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Solids concentration (kg/kg)</c:v>
          </c:tx>
          <c:spPr>
            <a:ln w="20160">
              <a:solidFill>
                <a:srgbClr val="31538F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 Node Calculations'!$B$19:$B$119</c:f>
              <c:numCache>
                <c:formatCode>0.00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</c:numCache>
            </c:numRef>
          </c:xVal>
          <c:yVal>
            <c:numRef>
              <c:f>'3 Node Calculations'!$I$19:$I$119</c:f>
              <c:numCache>
                <c:formatCode>0.00%</c:formatCode>
                <c:ptCount val="101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0.10786812649004672</c:v>
                </c:pt>
                <c:pt idx="11">
                  <c:v>0.10786812649004672</c:v>
                </c:pt>
                <c:pt idx="12">
                  <c:v>0.10786812649004672</c:v>
                </c:pt>
                <c:pt idx="13">
                  <c:v>0.10786812649004672</c:v>
                </c:pt>
                <c:pt idx="14">
                  <c:v>0.10786812649004672</c:v>
                </c:pt>
                <c:pt idx="15">
                  <c:v>0.10786812649004672</c:v>
                </c:pt>
                <c:pt idx="16">
                  <c:v>0.10786812649004672</c:v>
                </c:pt>
                <c:pt idx="17">
                  <c:v>0.10786812649004672</c:v>
                </c:pt>
                <c:pt idx="18">
                  <c:v>0.10786812649004672</c:v>
                </c:pt>
                <c:pt idx="19">
                  <c:v>0.10786812649004672</c:v>
                </c:pt>
                <c:pt idx="20">
                  <c:v>0.10786812649004672</c:v>
                </c:pt>
                <c:pt idx="21">
                  <c:v>0.10786812649004672</c:v>
                </c:pt>
                <c:pt idx="22">
                  <c:v>0.10786812649004672</c:v>
                </c:pt>
                <c:pt idx="23">
                  <c:v>0.10786812649004672</c:v>
                </c:pt>
                <c:pt idx="24">
                  <c:v>0.10786812649004672</c:v>
                </c:pt>
                <c:pt idx="25">
                  <c:v>0.10786812649004672</c:v>
                </c:pt>
                <c:pt idx="26">
                  <c:v>0.10786812649004672</c:v>
                </c:pt>
                <c:pt idx="27">
                  <c:v>0.10786812649004672</c:v>
                </c:pt>
                <c:pt idx="28">
                  <c:v>0.10786812649004672</c:v>
                </c:pt>
                <c:pt idx="29">
                  <c:v>0.10786812649004672</c:v>
                </c:pt>
                <c:pt idx="30">
                  <c:v>0.10786812649004672</c:v>
                </c:pt>
                <c:pt idx="31">
                  <c:v>0.10786812649004672</c:v>
                </c:pt>
                <c:pt idx="32">
                  <c:v>0.10786812649004672</c:v>
                </c:pt>
                <c:pt idx="33">
                  <c:v>0.10786812649004672</c:v>
                </c:pt>
                <c:pt idx="34">
                  <c:v>0.10786812649004672</c:v>
                </c:pt>
                <c:pt idx="35">
                  <c:v>0.10786812649004672</c:v>
                </c:pt>
                <c:pt idx="36">
                  <c:v>0.10786812649004672</c:v>
                </c:pt>
                <c:pt idx="37">
                  <c:v>0.10786812649004672</c:v>
                </c:pt>
                <c:pt idx="38">
                  <c:v>0.10786812649004672</c:v>
                </c:pt>
                <c:pt idx="39">
                  <c:v>0.10786812649004672</c:v>
                </c:pt>
                <c:pt idx="40">
                  <c:v>0.10786812649004672</c:v>
                </c:pt>
                <c:pt idx="41">
                  <c:v>0.10786812649004672</c:v>
                </c:pt>
                <c:pt idx="42">
                  <c:v>0.10786812649004672</c:v>
                </c:pt>
                <c:pt idx="43">
                  <c:v>0.10786812649004672</c:v>
                </c:pt>
                <c:pt idx="44">
                  <c:v>0.10786812649004672</c:v>
                </c:pt>
                <c:pt idx="45">
                  <c:v>0.10786812649004672</c:v>
                </c:pt>
                <c:pt idx="46">
                  <c:v>0.10786812649004672</c:v>
                </c:pt>
                <c:pt idx="47">
                  <c:v>0.10786812649004672</c:v>
                </c:pt>
                <c:pt idx="48">
                  <c:v>0.10786812649004672</c:v>
                </c:pt>
                <c:pt idx="49">
                  <c:v>0.10786812649004672</c:v>
                </c:pt>
                <c:pt idx="50">
                  <c:v>0.10786812649004672</c:v>
                </c:pt>
                <c:pt idx="51">
                  <c:v>0.10786812649004672</c:v>
                </c:pt>
                <c:pt idx="52">
                  <c:v>0.10786812649004672</c:v>
                </c:pt>
                <c:pt idx="53">
                  <c:v>0.10786812649004672</c:v>
                </c:pt>
                <c:pt idx="54">
                  <c:v>0.10786812649004672</c:v>
                </c:pt>
                <c:pt idx="55">
                  <c:v>0.10786812649004672</c:v>
                </c:pt>
                <c:pt idx="56">
                  <c:v>0.10786812649004672</c:v>
                </c:pt>
                <c:pt idx="57">
                  <c:v>0.10786812649004672</c:v>
                </c:pt>
                <c:pt idx="58">
                  <c:v>0.10786812649004672</c:v>
                </c:pt>
                <c:pt idx="59">
                  <c:v>0.10786812649004672</c:v>
                </c:pt>
                <c:pt idx="60">
                  <c:v>0.10786812649004672</c:v>
                </c:pt>
                <c:pt idx="61">
                  <c:v>0.10786812649004672</c:v>
                </c:pt>
                <c:pt idx="62">
                  <c:v>0.10786812649004672</c:v>
                </c:pt>
                <c:pt idx="63">
                  <c:v>0.10786812649004672</c:v>
                </c:pt>
                <c:pt idx="64">
                  <c:v>0.10786812649004672</c:v>
                </c:pt>
                <c:pt idx="65">
                  <c:v>0.10786812649004672</c:v>
                </c:pt>
                <c:pt idx="66">
                  <c:v>0.10786812649004672</c:v>
                </c:pt>
                <c:pt idx="67">
                  <c:v>0.10786812649004672</c:v>
                </c:pt>
                <c:pt idx="68">
                  <c:v>0.10786812649004672</c:v>
                </c:pt>
                <c:pt idx="69">
                  <c:v>0.10786812649004672</c:v>
                </c:pt>
                <c:pt idx="70">
                  <c:v>0.10786812649004672</c:v>
                </c:pt>
                <c:pt idx="71">
                  <c:v>0.10786812649004672</c:v>
                </c:pt>
                <c:pt idx="72">
                  <c:v>0.10786812649004672</c:v>
                </c:pt>
                <c:pt idx="73">
                  <c:v>0.10786812649004672</c:v>
                </c:pt>
                <c:pt idx="74">
                  <c:v>0.10786812649004672</c:v>
                </c:pt>
                <c:pt idx="75">
                  <c:v>0.10786812649004672</c:v>
                </c:pt>
                <c:pt idx="76">
                  <c:v>0.10786812649004672</c:v>
                </c:pt>
                <c:pt idx="77">
                  <c:v>0.10786812649004672</c:v>
                </c:pt>
                <c:pt idx="78">
                  <c:v>0.10786812649004672</c:v>
                </c:pt>
                <c:pt idx="79">
                  <c:v>0.10786812649004672</c:v>
                </c:pt>
                <c:pt idx="80">
                  <c:v>0.10786812649004672</c:v>
                </c:pt>
                <c:pt idx="81">
                  <c:v>0.10786812649004672</c:v>
                </c:pt>
                <c:pt idx="82">
                  <c:v>0.10786812649004672</c:v>
                </c:pt>
                <c:pt idx="83">
                  <c:v>0.10786812649004672</c:v>
                </c:pt>
                <c:pt idx="84">
                  <c:v>0.10786812649004672</c:v>
                </c:pt>
                <c:pt idx="85">
                  <c:v>0.10786812649004672</c:v>
                </c:pt>
                <c:pt idx="86">
                  <c:v>0.10786812649004672</c:v>
                </c:pt>
                <c:pt idx="87">
                  <c:v>0.10786812649004672</c:v>
                </c:pt>
                <c:pt idx="88">
                  <c:v>0.10786812649004672</c:v>
                </c:pt>
                <c:pt idx="89">
                  <c:v>0.10786812649004672</c:v>
                </c:pt>
                <c:pt idx="90">
                  <c:v>0.10786812649004672</c:v>
                </c:pt>
                <c:pt idx="91">
                  <c:v>0.10786812649004672</c:v>
                </c:pt>
                <c:pt idx="92">
                  <c:v>0.10786812649004672</c:v>
                </c:pt>
                <c:pt idx="93">
                  <c:v>0.10786812649004672</c:v>
                </c:pt>
                <c:pt idx="94">
                  <c:v>0.10786812649004672</c:v>
                </c:pt>
                <c:pt idx="95">
                  <c:v>0.10786812649004672</c:v>
                </c:pt>
                <c:pt idx="96">
                  <c:v>0.10786812649004672</c:v>
                </c:pt>
                <c:pt idx="97">
                  <c:v>0.10786812649004672</c:v>
                </c:pt>
                <c:pt idx="98">
                  <c:v>0.10786812649004672</c:v>
                </c:pt>
                <c:pt idx="99">
                  <c:v>0.10786812649004672</c:v>
                </c:pt>
                <c:pt idx="100">
                  <c:v>0.10786812649004672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00-2340-BD03-6BF1FAA9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734"/>
        <c:axId val="57876384"/>
      </c:scatterChart>
      <c:valAx>
        <c:axId val="50967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Distance along pipe x (m)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76384"/>
        <c:crosses val="autoZero"/>
        <c:crossBetween val="midCat"/>
      </c:valAx>
      <c:valAx>
        <c:axId val="578763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Solids concentration (kg/kg)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96734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</xdr:colOff>
      <xdr:row>3</xdr:row>
      <xdr:rowOff>0</xdr:rowOff>
    </xdr:from>
    <xdr:to>
      <xdr:col>14</xdr:col>
      <xdr:colOff>175140</xdr:colOff>
      <xdr:row>17</xdr:row>
      <xdr:rowOff>39540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12700</xdr:colOff>
      <xdr:row>19</xdr:row>
      <xdr:rowOff>0</xdr:rowOff>
    </xdr:from>
    <xdr:to>
      <xdr:col>14</xdr:col>
      <xdr:colOff>175140</xdr:colOff>
      <xdr:row>34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12700</xdr:colOff>
      <xdr:row>36</xdr:row>
      <xdr:rowOff>0</xdr:rowOff>
    </xdr:from>
    <xdr:to>
      <xdr:col>14</xdr:col>
      <xdr:colOff>175140</xdr:colOff>
      <xdr:row>49</xdr:row>
      <xdr:rowOff>89980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showGridLines="0" tabSelected="1" topLeftCell="A20" zoomScale="149" zoomScaleNormal="100" workbookViewId="0">
      <selection activeCell="A20" sqref="A20:D20"/>
    </sheetView>
  </sheetViews>
  <sheetFormatPr baseColWidth="10" defaultColWidth="8.6640625" defaultRowHeight="15" x14ac:dyDescent="0.2"/>
  <cols>
    <col min="1" max="1" width="48" style="2" customWidth="1"/>
    <col min="2" max="3" width="12" style="2" customWidth="1"/>
    <col min="4" max="4" width="58" style="2" customWidth="1"/>
    <col min="5" max="5" width="8.6640625" style="2" customWidth="1"/>
    <col min="6" max="16384" width="8.6640625" style="2"/>
  </cols>
  <sheetData>
    <row r="1" spans="1:4" ht="16" customHeight="1" x14ac:dyDescent="0.2">
      <c r="A1" s="1" t="s">
        <v>0</v>
      </c>
      <c r="C1" s="3"/>
      <c r="D1" s="4"/>
    </row>
    <row r="2" spans="1:4" x14ac:dyDescent="0.2">
      <c r="A2" s="5"/>
      <c r="C2" s="3"/>
      <c r="D2" s="4"/>
    </row>
    <row r="3" spans="1:4" x14ac:dyDescent="0.2">
      <c r="C3" s="3"/>
      <c r="D3" s="4"/>
    </row>
    <row r="4" spans="1:4" x14ac:dyDescent="0.2">
      <c r="A4" s="7" t="s">
        <v>1</v>
      </c>
    </row>
    <row r="5" spans="1:4" x14ac:dyDescent="0.2">
      <c r="A5" s="8" t="s">
        <v>2</v>
      </c>
      <c r="B5" s="8" t="s">
        <v>3</v>
      </c>
      <c r="C5" s="8" t="s">
        <v>4</v>
      </c>
      <c r="D5" s="8" t="s">
        <v>5</v>
      </c>
    </row>
    <row r="6" spans="1:4" x14ac:dyDescent="0.2">
      <c r="A6" s="9" t="s">
        <v>6</v>
      </c>
      <c r="B6" s="10">
        <v>2</v>
      </c>
      <c r="C6" s="4" t="s">
        <v>7</v>
      </c>
      <c r="D6" s="11" t="s">
        <v>8</v>
      </c>
    </row>
    <row r="7" spans="1:4" x14ac:dyDescent="0.2">
      <c r="A7" s="9"/>
      <c r="B7" s="12"/>
      <c r="C7" s="4"/>
      <c r="D7" s="11"/>
    </row>
    <row r="8" spans="1:4" x14ac:dyDescent="0.2">
      <c r="A8" s="9" t="s">
        <v>9</v>
      </c>
      <c r="B8" s="13">
        <v>6</v>
      </c>
      <c r="C8" s="4" t="s">
        <v>10</v>
      </c>
      <c r="D8" s="11" t="s">
        <v>11</v>
      </c>
    </row>
    <row r="9" spans="1:4" ht="15.75" customHeight="1" x14ac:dyDescent="0.2">
      <c r="A9" s="9" t="s">
        <v>12</v>
      </c>
      <c r="B9" s="14">
        <v>0.12</v>
      </c>
      <c r="C9" s="4" t="s">
        <v>13</v>
      </c>
      <c r="D9" s="11" t="s">
        <v>14</v>
      </c>
    </row>
    <row r="10" spans="1:4" x14ac:dyDescent="0.2">
      <c r="A10" s="9" t="s">
        <v>15</v>
      </c>
      <c r="B10" s="10">
        <v>4.1859999999999999</v>
      </c>
      <c r="C10" s="4" t="s">
        <v>16</v>
      </c>
      <c r="D10" s="11" t="s">
        <v>17</v>
      </c>
    </row>
    <row r="11" spans="1:4" ht="25.5" customHeight="1" x14ac:dyDescent="0.2">
      <c r="A11" s="9" t="s">
        <v>18</v>
      </c>
      <c r="B11" s="15">
        <v>1000</v>
      </c>
      <c r="C11" s="4" t="s">
        <v>19</v>
      </c>
      <c r="D11" s="11" t="s">
        <v>20</v>
      </c>
    </row>
    <row r="12" spans="1:4" ht="25.5" customHeight="1" x14ac:dyDescent="0.2">
      <c r="A12" s="9" t="s">
        <v>21</v>
      </c>
      <c r="B12" s="16">
        <f>'1 Inputs'!$B$11*(PI()*'1 Inputs'!$B$24^2/4)*'1 Inputs'!$B$6*3600</f>
        <v>14137.16694115407</v>
      </c>
      <c r="C12" s="4" t="s">
        <v>22</v>
      </c>
      <c r="D12" s="11"/>
    </row>
    <row r="14" spans="1:4" ht="25.5" customHeight="1" x14ac:dyDescent="0.2">
      <c r="A14" s="7" t="s">
        <v>23</v>
      </c>
    </row>
    <row r="15" spans="1:4" x14ac:dyDescent="0.2">
      <c r="A15" s="8" t="s">
        <v>2</v>
      </c>
      <c r="B15" s="8" t="s">
        <v>3</v>
      </c>
      <c r="C15" s="8" t="s">
        <v>4</v>
      </c>
      <c r="D15" s="8" t="s">
        <v>24</v>
      </c>
    </row>
    <row r="16" spans="1:4" ht="25.5" customHeight="1" x14ac:dyDescent="0.2">
      <c r="A16" s="9" t="s">
        <v>25</v>
      </c>
      <c r="B16" s="12">
        <v>6</v>
      </c>
      <c r="C16" s="4" t="s">
        <v>26</v>
      </c>
      <c r="D16" s="11" t="s">
        <v>27</v>
      </c>
    </row>
    <row r="17" spans="1:6" ht="37.5" customHeight="1" x14ac:dyDescent="0.2">
      <c r="A17" s="9" t="s">
        <v>28</v>
      </c>
      <c r="B17" s="15">
        <v>1590</v>
      </c>
      <c r="C17" s="4" t="s">
        <v>22</v>
      </c>
      <c r="D17" s="11" t="s">
        <v>29</v>
      </c>
      <c r="F17" s="2" t="s">
        <v>30</v>
      </c>
    </row>
    <row r="18" spans="1:6" ht="24" x14ac:dyDescent="0.2">
      <c r="A18" s="9" t="s">
        <v>31</v>
      </c>
      <c r="B18" s="17">
        <v>5.0000000000000001E-3</v>
      </c>
      <c r="C18" s="4" t="s">
        <v>32</v>
      </c>
      <c r="D18" s="11" t="s">
        <v>297</v>
      </c>
    </row>
    <row r="19" spans="1:6" ht="15.75" customHeight="1" x14ac:dyDescent="0.2">
      <c r="A19" s="9" t="s">
        <v>33</v>
      </c>
      <c r="B19" s="18">
        <v>500</v>
      </c>
      <c r="C19" s="4" t="s">
        <v>7</v>
      </c>
      <c r="D19" s="11" t="s">
        <v>34</v>
      </c>
    </row>
    <row r="20" spans="1:6" ht="24" x14ac:dyDescent="0.2">
      <c r="A20" s="9" t="s">
        <v>295</v>
      </c>
      <c r="B20" s="12">
        <v>0.85</v>
      </c>
      <c r="C20" s="4" t="s">
        <v>42</v>
      </c>
      <c r="D20" s="11" t="s">
        <v>296</v>
      </c>
    </row>
    <row r="21" spans="1:6" ht="25.5" customHeight="1" x14ac:dyDescent="0.2">
      <c r="A21" s="7" t="s">
        <v>35</v>
      </c>
    </row>
    <row r="22" spans="1:6" ht="37.5" customHeight="1" x14ac:dyDescent="0.2">
      <c r="A22" s="8" t="s">
        <v>2</v>
      </c>
      <c r="B22" s="8" t="s">
        <v>3</v>
      </c>
      <c r="C22" s="8" t="s">
        <v>4</v>
      </c>
      <c r="D22" s="8" t="s">
        <v>24</v>
      </c>
    </row>
    <row r="23" spans="1:6" ht="25.5" customHeight="1" x14ac:dyDescent="0.2">
      <c r="A23" s="9" t="s">
        <v>36</v>
      </c>
      <c r="B23" s="12">
        <v>2</v>
      </c>
      <c r="C23" s="4" t="s">
        <v>32</v>
      </c>
      <c r="D23" s="11"/>
    </row>
    <row r="24" spans="1:6" ht="37.5" customHeight="1" x14ac:dyDescent="0.2">
      <c r="A24" s="9" t="s">
        <v>37</v>
      </c>
      <c r="B24" s="10">
        <v>0.05</v>
      </c>
      <c r="C24" s="4" t="s">
        <v>32</v>
      </c>
      <c r="D24" s="11"/>
    </row>
    <row r="25" spans="1:6" x14ac:dyDescent="0.2">
      <c r="A25" s="9" t="s">
        <v>38</v>
      </c>
      <c r="B25" s="12">
        <v>0.2</v>
      </c>
      <c r="C25" s="4" t="s">
        <v>32</v>
      </c>
      <c r="D25" s="11" t="s">
        <v>39</v>
      </c>
    </row>
    <row r="26" spans="1:6" ht="15.75" customHeight="1" x14ac:dyDescent="0.2"/>
    <row r="27" spans="1:6" x14ac:dyDescent="0.2">
      <c r="A27" s="7" t="s">
        <v>40</v>
      </c>
    </row>
    <row r="28" spans="1:6" x14ac:dyDescent="0.2">
      <c r="A28" s="8" t="s">
        <v>2</v>
      </c>
      <c r="B28" s="8" t="s">
        <v>3</v>
      </c>
      <c r="C28" s="8" t="s">
        <v>4</v>
      </c>
      <c r="D28" s="8" t="s">
        <v>24</v>
      </c>
    </row>
    <row r="29" spans="1:6" x14ac:dyDescent="0.2">
      <c r="A29" s="9" t="s">
        <v>41</v>
      </c>
      <c r="B29" s="18">
        <v>100</v>
      </c>
      <c r="C29" s="4" t="s">
        <v>42</v>
      </c>
      <c r="D29" s="11" t="s">
        <v>310</v>
      </c>
    </row>
    <row r="30" spans="1:6" ht="37.5" customHeight="1" x14ac:dyDescent="0.2">
      <c r="A30" s="9" t="s">
        <v>43</v>
      </c>
      <c r="B30" s="14">
        <v>0.12</v>
      </c>
      <c r="C30" s="4" t="s">
        <v>13</v>
      </c>
      <c r="D30" s="11" t="s">
        <v>44</v>
      </c>
    </row>
    <row r="32" spans="1:6" ht="15.75" customHeight="1" x14ac:dyDescent="0.2">
      <c r="A32" s="7" t="s">
        <v>45</v>
      </c>
    </row>
    <row r="33" spans="1:4" x14ac:dyDescent="0.2">
      <c r="A33" s="8" t="s">
        <v>2</v>
      </c>
      <c r="B33" s="8" t="s">
        <v>3</v>
      </c>
      <c r="C33" s="8" t="s">
        <v>4</v>
      </c>
      <c r="D33" s="8" t="s">
        <v>24</v>
      </c>
    </row>
    <row r="34" spans="1:4" ht="25.5" customHeight="1" x14ac:dyDescent="0.2">
      <c r="A34" s="9" t="s">
        <v>46</v>
      </c>
      <c r="B34" s="13">
        <v>138</v>
      </c>
      <c r="C34" s="4" t="s">
        <v>10</v>
      </c>
      <c r="D34" s="11" t="s">
        <v>47</v>
      </c>
    </row>
    <row r="35" spans="1:4" ht="25.5" customHeight="1" x14ac:dyDescent="0.2">
      <c r="A35" s="9" t="s">
        <v>48</v>
      </c>
      <c r="B35" s="13">
        <v>2</v>
      </c>
      <c r="C35" s="4" t="s">
        <v>49</v>
      </c>
      <c r="D35" s="11"/>
    </row>
    <row r="36" spans="1:4" x14ac:dyDescent="0.2">
      <c r="A36" s="9" t="s">
        <v>50</v>
      </c>
      <c r="B36" s="13">
        <v>72</v>
      </c>
      <c r="C36" s="4" t="s">
        <v>10</v>
      </c>
      <c r="D36" s="11" t="s">
        <v>51</v>
      </c>
    </row>
    <row r="37" spans="1:4" ht="15.75" customHeight="1" x14ac:dyDescent="0.2">
      <c r="A37" s="9" t="s">
        <v>52</v>
      </c>
      <c r="B37" s="13">
        <v>15</v>
      </c>
      <c r="C37" s="4" t="s">
        <v>49</v>
      </c>
      <c r="D37" s="11"/>
    </row>
    <row r="39" spans="1:4" ht="25.5" customHeight="1" x14ac:dyDescent="0.2">
      <c r="A39" s="7"/>
    </row>
    <row r="40" spans="1:4" x14ac:dyDescent="0.2">
      <c r="A40" s="19"/>
      <c r="B40" s="20"/>
    </row>
    <row r="41" spans="1:4" ht="25.5" customHeight="1" x14ac:dyDescent="0.2">
      <c r="A41" s="19"/>
      <c r="B41" s="20"/>
    </row>
    <row r="42" spans="1:4" x14ac:dyDescent="0.2">
      <c r="A42" s="19"/>
      <c r="B42" s="20"/>
    </row>
    <row r="43" spans="1:4" x14ac:dyDescent="0.2">
      <c r="A43" s="19"/>
      <c r="B43" s="20"/>
    </row>
    <row r="44" spans="1:4" ht="15.75" customHeight="1" x14ac:dyDescent="0.2">
      <c r="A44" s="19"/>
      <c r="B44" s="20"/>
    </row>
    <row r="45" spans="1:4" x14ac:dyDescent="0.2">
      <c r="A45" s="19"/>
      <c r="B45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showGridLines="0" topLeftCell="A6" zoomScale="142" zoomScaleNormal="100" workbookViewId="0">
      <selection activeCell="A17" sqref="A17"/>
    </sheetView>
  </sheetViews>
  <sheetFormatPr baseColWidth="10" defaultColWidth="8.6640625" defaultRowHeight="15" x14ac:dyDescent="0.2"/>
  <cols>
    <col min="1" max="1" width="40" style="2" customWidth="1"/>
    <col min="2" max="2" width="13" style="2" customWidth="1"/>
    <col min="3" max="3" width="11" style="2" customWidth="1"/>
    <col min="4" max="4" width="60" style="2" customWidth="1"/>
    <col min="5" max="6" width="13" style="2" customWidth="1"/>
    <col min="7" max="7" width="8.6640625" style="2" customWidth="1"/>
    <col min="8" max="16384" width="8.6640625" style="2"/>
  </cols>
  <sheetData>
    <row r="1" spans="1:4" ht="16" customHeight="1" x14ac:dyDescent="0.2">
      <c r="A1" s="1" t="s">
        <v>53</v>
      </c>
      <c r="C1" s="3"/>
      <c r="D1" s="4"/>
    </row>
    <row r="2" spans="1:4" x14ac:dyDescent="0.2">
      <c r="A2" s="5"/>
      <c r="C2" s="3"/>
      <c r="D2" s="4"/>
    </row>
    <row r="3" spans="1:4" x14ac:dyDescent="0.2">
      <c r="C3" s="3"/>
      <c r="D3" s="4"/>
    </row>
    <row r="4" spans="1:4" x14ac:dyDescent="0.2">
      <c r="A4" s="7" t="s">
        <v>54</v>
      </c>
    </row>
    <row r="5" spans="1:4" x14ac:dyDescent="0.2">
      <c r="A5" s="19" t="s">
        <v>55</v>
      </c>
      <c r="B5" s="25">
        <f>'1 Inputs'!$B$16</f>
        <v>6</v>
      </c>
      <c r="C5" s="4" t="s">
        <v>26</v>
      </c>
      <c r="D5" s="11"/>
    </row>
    <row r="6" spans="1:4" x14ac:dyDescent="0.2">
      <c r="A6" s="19" t="s">
        <v>56</v>
      </c>
      <c r="B6" s="28">
        <f>MATCH('1 Inputs'!$B$16,$A$30:$A$45,1)</f>
        <v>10</v>
      </c>
      <c r="C6" s="4" t="s">
        <v>42</v>
      </c>
      <c r="D6" s="11" t="s">
        <v>57</v>
      </c>
    </row>
    <row r="7" spans="1:4" x14ac:dyDescent="0.2">
      <c r="A7" s="19" t="s">
        <v>58</v>
      </c>
      <c r="B7" s="25">
        <f>INDEX($A$30:$A$45,'2 Steam Properties'!$B$6)</f>
        <v>6</v>
      </c>
      <c r="C7" s="4" t="s">
        <v>26</v>
      </c>
      <c r="D7" s="11"/>
    </row>
    <row r="8" spans="1:4" x14ac:dyDescent="0.2">
      <c r="A8" s="19" t="s">
        <v>59</v>
      </c>
      <c r="B8" s="25">
        <f>INDEX($A$30:$A$45,'2 Steam Properties'!$B$6+1)</f>
        <v>7</v>
      </c>
      <c r="C8" s="4" t="s">
        <v>26</v>
      </c>
      <c r="D8" s="11"/>
    </row>
    <row r="9" spans="1:4" x14ac:dyDescent="0.2">
      <c r="A9" s="19" t="s">
        <v>60</v>
      </c>
      <c r="B9" s="26">
        <f>('1 Inputs'!$B$16-'2 Steam Properties'!$B$7)/('2 Steam Properties'!$B$8-'2 Steam Properties'!$B$7)</f>
        <v>0</v>
      </c>
      <c r="C9" s="4" t="s">
        <v>42</v>
      </c>
      <c r="D9" s="11" t="s">
        <v>61</v>
      </c>
    </row>
    <row r="10" spans="1:4" x14ac:dyDescent="0.2">
      <c r="A10" s="19" t="s">
        <v>62</v>
      </c>
      <c r="B10" s="25">
        <f>INDEX($B$30:$B$45,'2 Steam Properties'!$B$6)+'2 Steam Properties'!$B$9*(INDEX($B$30:$B$45,'2 Steam Properties'!$B$6+1)-INDEX($B$30:$B$45,'2 Steam Properties'!$B$6))</f>
        <v>158.83000000000001</v>
      </c>
      <c r="C10" s="4" t="s">
        <v>10</v>
      </c>
      <c r="D10" s="11" t="s">
        <v>63</v>
      </c>
    </row>
    <row r="11" spans="1:4" ht="15.75" customHeight="1" x14ac:dyDescent="0.2">
      <c r="A11" s="19" t="s">
        <v>64</v>
      </c>
      <c r="B11" s="23">
        <f>INDEX($C$30:$C$45,'2 Steam Properties'!$B$6)+'2 Steam Properties'!$B$9*(INDEX($C$30:$C$45,'2 Steam Properties'!$B$6+1)-INDEX($C$30:$C$45,'2 Steam Properties'!$B$6))</f>
        <v>670.5</v>
      </c>
      <c r="C11" s="4" t="s">
        <v>65</v>
      </c>
      <c r="D11" s="11" t="s">
        <v>66</v>
      </c>
    </row>
    <row r="12" spans="1:4" x14ac:dyDescent="0.2">
      <c r="A12" s="19" t="s">
        <v>67</v>
      </c>
      <c r="B12" s="23">
        <f>INDEX($D$30:$D$45,'2 Steam Properties'!$B$6)+'2 Steam Properties'!$B$9*(INDEX($D$30:$D$45,'2 Steam Properties'!$B$6+1)-INDEX($D$30:$D$45,'2 Steam Properties'!$B$6))</f>
        <v>2085.6</v>
      </c>
      <c r="C12" s="4" t="s">
        <v>65</v>
      </c>
      <c r="D12" s="11" t="s">
        <v>68</v>
      </c>
    </row>
    <row r="13" spans="1:4" ht="25.5" customHeight="1" x14ac:dyDescent="0.2">
      <c r="A13" s="19" t="s">
        <v>69</v>
      </c>
      <c r="B13" s="23">
        <f>INDEX($E$30:$E$45,'2 Steam Properties'!$B$6)+'2 Steam Properties'!$B$9*(INDEX($E$30:$E$45,'2 Steam Properties'!$B$6+1)-INDEX($E$30:$E$45,'2 Steam Properties'!$B$6))</f>
        <v>2756.1</v>
      </c>
      <c r="C13" s="4" t="s">
        <v>65</v>
      </c>
      <c r="D13" s="11" t="s">
        <v>70</v>
      </c>
    </row>
    <row r="14" spans="1:4" x14ac:dyDescent="0.2">
      <c r="A14" s="19" t="s">
        <v>71</v>
      </c>
      <c r="B14" s="29">
        <f>INDEX($F$30:$F$45,'2 Steam Properties'!$B$6)+'2 Steam Properties'!$B$9*(INDEX($F$30:$F$45,'2 Steam Properties'!$B$6+1)-INDEX($F$30:$F$45,'2 Steam Properties'!$B$6))</f>
        <v>0.31559999999999999</v>
      </c>
      <c r="C14" s="4" t="s">
        <v>72</v>
      </c>
      <c r="D14" s="11" t="s">
        <v>73</v>
      </c>
    </row>
    <row r="15" spans="1:4" x14ac:dyDescent="0.2">
      <c r="A15" s="19" t="s">
        <v>74</v>
      </c>
      <c r="B15" s="25">
        <f>'2 Steam Properties'!$B$13-('2 Steam Properties'!$B$11+'2 Steam Properties'!$B$12)</f>
        <v>0</v>
      </c>
      <c r="C15" s="4" t="s">
        <v>65</v>
      </c>
      <c r="D15" s="11" t="s">
        <v>75</v>
      </c>
    </row>
    <row r="16" spans="1:4" ht="25.5" customHeight="1" x14ac:dyDescent="0.2"/>
    <row r="17" spans="1:6" x14ac:dyDescent="0.2">
      <c r="A17" s="7" t="s">
        <v>76</v>
      </c>
    </row>
    <row r="18" spans="1:6" x14ac:dyDescent="0.2">
      <c r="A18" s="19" t="s">
        <v>77</v>
      </c>
      <c r="B18" s="12">
        <v>2.7</v>
      </c>
      <c r="C18" s="4" t="s">
        <v>26</v>
      </c>
      <c r="D18" s="6" t="s">
        <v>78</v>
      </c>
    </row>
    <row r="19" spans="1:6" x14ac:dyDescent="0.2">
      <c r="A19" s="19" t="s">
        <v>79</v>
      </c>
      <c r="B19" s="28">
        <f>MATCH($B$18,$A$30:$A$45,1)</f>
        <v>4</v>
      </c>
      <c r="C19" s="4" t="s">
        <v>42</v>
      </c>
      <c r="D19" s="6" t="s">
        <v>80</v>
      </c>
    </row>
    <row r="20" spans="1:6" ht="25.5" customHeight="1" x14ac:dyDescent="0.2">
      <c r="A20" s="19" t="s">
        <v>81</v>
      </c>
      <c r="B20" s="26">
        <f>($B$18-INDEX($A$30:$A$45,$B$19))/(INDEX($A$30:$A$45,$B$19+1)-INDEX($A$30:$A$45,$B$19))</f>
        <v>0.40000000000000036</v>
      </c>
      <c r="C20" s="4" t="s">
        <v>42</v>
      </c>
      <c r="D20" s="6"/>
    </row>
    <row r="21" spans="1:6" ht="25.5" customHeight="1" x14ac:dyDescent="0.2">
      <c r="A21" s="19" t="s">
        <v>82</v>
      </c>
      <c r="B21" s="25">
        <f>INDEX($B$30:$B$45,$B$19)+$B$20*(INDEX($B$30:$B$45,$B$19+1)-INDEX($B$30:$B$45,$B$19))</f>
        <v>129.858</v>
      </c>
      <c r="C21" s="4" t="s">
        <v>10</v>
      </c>
      <c r="D21" s="19"/>
    </row>
    <row r="22" spans="1:6" x14ac:dyDescent="0.2">
      <c r="A22" s="19" t="s">
        <v>83</v>
      </c>
      <c r="B22" s="23">
        <f>INDEX($C$30:$C$45,$B$19)+$B$20*(INDEX($C$30:$C$45,$B$19+1)-INDEX($C$30:$C$45,$B$19))</f>
        <v>545.79399999999998</v>
      </c>
      <c r="C22" s="4" t="s">
        <v>65</v>
      </c>
      <c r="D22" s="19"/>
    </row>
    <row r="23" spans="1:6" x14ac:dyDescent="0.2">
      <c r="A23" s="19" t="s">
        <v>84</v>
      </c>
      <c r="B23" s="23">
        <f>INDEX($D$30:$D$45,$B$19)+$B$20*(INDEX($D$30:$D$45,$B$19+1)-INDEX($D$30:$D$45,$B$19))</f>
        <v>2174.08</v>
      </c>
      <c r="C23" s="4" t="s">
        <v>65</v>
      </c>
      <c r="D23" s="19"/>
    </row>
    <row r="24" spans="1:6" ht="15.75" customHeight="1" x14ac:dyDescent="0.2">
      <c r="A24" s="19" t="s">
        <v>85</v>
      </c>
      <c r="B24" s="23">
        <f>INDEX($E$30:$E$45,$B$19)+$B$20*(INDEX($E$30:$E$45,$B$19+1)-INDEX($E$30:$E$45,$B$19))</f>
        <v>2719.86</v>
      </c>
      <c r="C24" s="4" t="s">
        <v>65</v>
      </c>
      <c r="D24" s="19"/>
    </row>
    <row r="25" spans="1:6" x14ac:dyDescent="0.2">
      <c r="A25" s="19" t="s">
        <v>86</v>
      </c>
      <c r="B25" s="29">
        <f>INDEX($F$30:$F$45,$B$19)+$B$20*(INDEX($F$30:$F$45,$B$19+1)-INDEX($F$30:$F$45,$B$19))</f>
        <v>0.67353999999999992</v>
      </c>
      <c r="C25" s="4" t="s">
        <v>72</v>
      </c>
      <c r="D25" s="19"/>
    </row>
    <row r="28" spans="1:6" x14ac:dyDescent="0.2">
      <c r="A28" s="7" t="s">
        <v>87</v>
      </c>
    </row>
    <row r="29" spans="1:6" x14ac:dyDescent="0.2">
      <c r="A29" s="30" t="s">
        <v>88</v>
      </c>
      <c r="B29" s="30" t="s">
        <v>89</v>
      </c>
      <c r="C29" s="30" t="s">
        <v>90</v>
      </c>
      <c r="D29" s="30" t="s">
        <v>91</v>
      </c>
      <c r="E29" s="30" t="s">
        <v>92</v>
      </c>
      <c r="F29" s="30" t="s">
        <v>93</v>
      </c>
    </row>
    <row r="30" spans="1:6" x14ac:dyDescent="0.2">
      <c r="A30" s="23">
        <v>1</v>
      </c>
      <c r="B30" s="25">
        <v>99.61</v>
      </c>
      <c r="C30" s="25">
        <v>417.44</v>
      </c>
      <c r="D30" s="23">
        <v>2257.5</v>
      </c>
      <c r="E30" s="23">
        <v>2674.9</v>
      </c>
      <c r="F30" s="29">
        <v>1.694</v>
      </c>
    </row>
    <row r="31" spans="1:6" x14ac:dyDescent="0.2">
      <c r="A31" s="23">
        <v>1.5</v>
      </c>
      <c r="B31" s="25">
        <v>111.35</v>
      </c>
      <c r="C31" s="25">
        <v>467.08</v>
      </c>
      <c r="D31" s="23">
        <v>2226</v>
      </c>
      <c r="E31" s="23">
        <v>2693.1</v>
      </c>
      <c r="F31" s="29">
        <v>1.1594</v>
      </c>
    </row>
    <row r="32" spans="1:6" x14ac:dyDescent="0.2">
      <c r="A32" s="23">
        <v>2</v>
      </c>
      <c r="B32" s="25">
        <v>120.21</v>
      </c>
      <c r="C32" s="25">
        <v>504.68</v>
      </c>
      <c r="D32" s="23">
        <v>2201.6</v>
      </c>
      <c r="E32" s="23">
        <v>2706.2</v>
      </c>
      <c r="F32" s="29">
        <v>0.88570000000000004</v>
      </c>
    </row>
    <row r="33" spans="1:6" x14ac:dyDescent="0.2">
      <c r="A33" s="23">
        <v>2.5</v>
      </c>
      <c r="B33" s="25">
        <v>127.41</v>
      </c>
      <c r="C33" s="25">
        <v>535.35</v>
      </c>
      <c r="D33" s="23">
        <v>2181.1999999999998</v>
      </c>
      <c r="E33" s="23">
        <v>2716.5</v>
      </c>
      <c r="F33" s="29">
        <v>0.71870000000000001</v>
      </c>
    </row>
    <row r="34" spans="1:6" x14ac:dyDescent="0.2">
      <c r="A34" s="23">
        <v>3</v>
      </c>
      <c r="B34" s="25">
        <v>133.53</v>
      </c>
      <c r="C34" s="25">
        <v>561.46</v>
      </c>
      <c r="D34" s="23">
        <v>2163.4</v>
      </c>
      <c r="E34" s="23">
        <v>2724.9</v>
      </c>
      <c r="F34" s="29">
        <v>0.60580000000000001</v>
      </c>
    </row>
    <row r="35" spans="1:6" ht="15.75" customHeight="1" x14ac:dyDescent="0.2">
      <c r="A35" s="23">
        <v>3.5</v>
      </c>
      <c r="B35" s="25">
        <v>138.86000000000001</v>
      </c>
      <c r="C35" s="25">
        <v>584.30999999999995</v>
      </c>
      <c r="D35" s="23">
        <v>2147.6999999999998</v>
      </c>
      <c r="E35" s="23">
        <v>2732</v>
      </c>
      <c r="F35" s="29">
        <v>0.5242</v>
      </c>
    </row>
    <row r="36" spans="1:6" x14ac:dyDescent="0.2">
      <c r="A36" s="23">
        <v>4</v>
      </c>
      <c r="B36" s="25">
        <v>143.61000000000001</v>
      </c>
      <c r="C36" s="25">
        <v>604.72</v>
      </c>
      <c r="D36" s="23">
        <v>2133.3000000000002</v>
      </c>
      <c r="E36" s="23">
        <v>2738.1</v>
      </c>
      <c r="F36" s="29">
        <v>0.46239999999999998</v>
      </c>
    </row>
    <row r="37" spans="1:6" x14ac:dyDescent="0.2">
      <c r="A37" s="23">
        <v>4.5</v>
      </c>
      <c r="B37" s="25">
        <v>147.91</v>
      </c>
      <c r="C37" s="25">
        <v>623.22</v>
      </c>
      <c r="D37" s="23">
        <v>2120.1999999999998</v>
      </c>
      <c r="E37" s="23">
        <v>2743.4</v>
      </c>
      <c r="F37" s="29">
        <v>0.41389999999999999</v>
      </c>
    </row>
    <row r="38" spans="1:6" x14ac:dyDescent="0.2">
      <c r="A38" s="23">
        <v>5</v>
      </c>
      <c r="B38" s="25">
        <v>151.84</v>
      </c>
      <c r="C38" s="25">
        <v>640.19000000000005</v>
      </c>
      <c r="D38" s="23">
        <v>2107.9</v>
      </c>
      <c r="E38" s="23">
        <v>2748.1</v>
      </c>
      <c r="F38" s="29">
        <v>0.37480000000000002</v>
      </c>
    </row>
    <row r="39" spans="1:6" x14ac:dyDescent="0.2">
      <c r="A39" s="23">
        <v>6</v>
      </c>
      <c r="B39" s="25">
        <v>158.83000000000001</v>
      </c>
      <c r="C39" s="25">
        <v>670.5</v>
      </c>
      <c r="D39" s="23">
        <v>2085.6</v>
      </c>
      <c r="E39" s="23">
        <v>2756.1</v>
      </c>
      <c r="F39" s="29">
        <v>0.31559999999999999</v>
      </c>
    </row>
    <row r="40" spans="1:6" x14ac:dyDescent="0.2">
      <c r="A40" s="23">
        <v>7</v>
      </c>
      <c r="B40" s="25">
        <v>164.95</v>
      </c>
      <c r="C40" s="25">
        <v>697.14</v>
      </c>
      <c r="D40" s="23">
        <v>2065.6</v>
      </c>
      <c r="E40" s="23">
        <v>2762.7</v>
      </c>
      <c r="F40" s="29">
        <v>0.27279999999999999</v>
      </c>
    </row>
    <row r="41" spans="1:6" x14ac:dyDescent="0.2">
      <c r="A41" s="23">
        <v>8</v>
      </c>
      <c r="B41" s="25">
        <v>170.41</v>
      </c>
      <c r="C41" s="25">
        <v>721.02</v>
      </c>
      <c r="D41" s="23">
        <v>2047.3</v>
      </c>
      <c r="E41" s="23">
        <v>2768.3</v>
      </c>
      <c r="F41" s="29">
        <v>0.24030000000000001</v>
      </c>
    </row>
    <row r="42" spans="1:6" x14ac:dyDescent="0.2">
      <c r="A42" s="23">
        <v>9</v>
      </c>
      <c r="B42" s="25">
        <v>175.36</v>
      </c>
      <c r="C42" s="25">
        <v>742.72</v>
      </c>
      <c r="D42" s="23">
        <v>2030.3</v>
      </c>
      <c r="E42" s="23">
        <v>2773</v>
      </c>
      <c r="F42" s="29">
        <v>0.21490000000000001</v>
      </c>
    </row>
    <row r="43" spans="1:6" x14ac:dyDescent="0.2">
      <c r="A43" s="23">
        <v>10</v>
      </c>
      <c r="B43" s="25">
        <v>179.89</v>
      </c>
      <c r="C43" s="25">
        <v>762.68</v>
      </c>
      <c r="D43" s="23">
        <v>2014.4</v>
      </c>
      <c r="E43" s="23">
        <v>2777.1</v>
      </c>
      <c r="F43" s="29">
        <v>0.1943</v>
      </c>
    </row>
    <row r="44" spans="1:6" x14ac:dyDescent="0.2">
      <c r="A44" s="23">
        <v>11</v>
      </c>
      <c r="B44" s="25">
        <v>184.07</v>
      </c>
      <c r="C44" s="25">
        <v>781.2</v>
      </c>
      <c r="D44" s="23">
        <v>1999.5</v>
      </c>
      <c r="E44" s="23">
        <v>2780.7</v>
      </c>
      <c r="F44" s="29">
        <v>0.1774</v>
      </c>
    </row>
    <row r="45" spans="1:6" x14ac:dyDescent="0.2">
      <c r="A45" s="23">
        <v>12</v>
      </c>
      <c r="B45" s="25">
        <v>187.96</v>
      </c>
      <c r="C45" s="25">
        <v>798.5</v>
      </c>
      <c r="D45" s="23">
        <v>1985.3</v>
      </c>
      <c r="E45" s="23">
        <v>2783.8</v>
      </c>
      <c r="F45" s="29">
        <v>0.16320000000000001</v>
      </c>
    </row>
    <row r="47" spans="1:6" x14ac:dyDescent="0.2">
      <c r="A47" s="6" t="s">
        <v>94</v>
      </c>
    </row>
    <row r="48" spans="1:6" x14ac:dyDescent="0.2">
      <c r="A48" s="6" t="s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7"/>
  <sheetViews>
    <sheetView showGridLines="0" zoomScale="150" zoomScaleNormal="100" workbookViewId="0">
      <pane ySplit="22" topLeftCell="A119" activePane="bottomLeft" state="frozen"/>
      <selection pane="bottomLeft" activeCell="I45" sqref="I45"/>
    </sheetView>
  </sheetViews>
  <sheetFormatPr baseColWidth="10" defaultColWidth="8.6640625" defaultRowHeight="15" x14ac:dyDescent="0.2"/>
  <cols>
    <col min="1" max="1" width="7" style="2" customWidth="1"/>
    <col min="2" max="2" width="10" style="2" customWidth="1"/>
    <col min="3" max="3" width="12" style="2" customWidth="1"/>
    <col min="4" max="4" width="14" style="2" customWidth="1"/>
    <col min="5" max="8" width="12" style="2" customWidth="1"/>
    <col min="9" max="9" width="11" style="2" customWidth="1"/>
    <col min="10" max="11" width="13" style="2" customWidth="1"/>
    <col min="12" max="12" width="11" style="2" customWidth="1"/>
    <col min="13" max="13" width="14" style="2" customWidth="1"/>
    <col min="14" max="14" width="8.6640625" style="2" customWidth="1"/>
    <col min="15" max="16384" width="8.6640625" style="2"/>
  </cols>
  <sheetData>
    <row r="1" spans="1:13" ht="16" customHeight="1" x14ac:dyDescent="0.2">
      <c r="A1" s="1" t="s">
        <v>96</v>
      </c>
      <c r="L1" s="3"/>
      <c r="M1" s="4"/>
    </row>
    <row r="2" spans="1:13" x14ac:dyDescent="0.2">
      <c r="A2" s="6" t="s">
        <v>97</v>
      </c>
      <c r="L2" s="3"/>
      <c r="M2" s="4"/>
    </row>
    <row r="3" spans="1:13" x14ac:dyDescent="0.2">
      <c r="A3" s="6" t="s">
        <v>98</v>
      </c>
      <c r="L3" s="3"/>
      <c r="M3" s="4"/>
    </row>
    <row r="4" spans="1:13" x14ac:dyDescent="0.2">
      <c r="L4" s="3"/>
      <c r="M4" s="4"/>
    </row>
    <row r="6" spans="1:13" x14ac:dyDescent="0.2">
      <c r="A6" s="7" t="s">
        <v>99</v>
      </c>
    </row>
    <row r="7" spans="1:13" x14ac:dyDescent="0.2">
      <c r="A7" s="19" t="s">
        <v>100</v>
      </c>
      <c r="G7" s="29">
        <f>'1 Inputs'!$B$23/'1 Inputs'!$B$29</f>
        <v>0.02</v>
      </c>
      <c r="H7" s="4" t="s">
        <v>32</v>
      </c>
    </row>
    <row r="8" spans="1:13" x14ac:dyDescent="0.2">
      <c r="A8" s="19" t="s">
        <v>101</v>
      </c>
      <c r="G8" s="27">
        <f>PI()*'1 Inputs'!$B$24^2/4</f>
        <v>1.9634954084936209E-3</v>
      </c>
      <c r="H8" s="4" t="s">
        <v>102</v>
      </c>
    </row>
    <row r="9" spans="1:13" x14ac:dyDescent="0.2">
      <c r="A9" s="19" t="s">
        <v>103</v>
      </c>
      <c r="G9" s="31">
        <f>PI()*'1 Inputs'!$B$18^2/4</f>
        <v>1.9634954084936207E-5</v>
      </c>
      <c r="H9" s="4" t="s">
        <v>102</v>
      </c>
    </row>
    <row r="10" spans="1:13" ht="15.75" customHeight="1" x14ac:dyDescent="0.2">
      <c r="A10" s="19" t="s">
        <v>104</v>
      </c>
      <c r="G10" s="21">
        <f>'1 Inputs'!$B$11*'3 Node Calculations'!$G$8*'1 Inputs'!$B$6</f>
        <v>3.9269908169872418</v>
      </c>
      <c r="H10" s="4" t="s">
        <v>105</v>
      </c>
    </row>
    <row r="11" spans="1:13" x14ac:dyDescent="0.2">
      <c r="A11" s="19" t="s">
        <v>106</v>
      </c>
      <c r="G11" s="21">
        <f>'1 Inputs'!$B$17/3600</f>
        <v>0.44166666666666665</v>
      </c>
      <c r="H11" s="4" t="s">
        <v>105</v>
      </c>
    </row>
    <row r="12" spans="1:13" x14ac:dyDescent="0.2">
      <c r="A12" s="19" t="s">
        <v>107</v>
      </c>
      <c r="G12" s="21">
        <f>'3 Node Calculations'!$G$10*'1 Inputs'!$B$9</f>
        <v>0.47123889803846902</v>
      </c>
      <c r="H12" s="4" t="s">
        <v>105</v>
      </c>
    </row>
    <row r="13" spans="1:13" x14ac:dyDescent="0.2">
      <c r="A13" s="19" t="s">
        <v>108</v>
      </c>
      <c r="G13" s="26">
        <f>'3 Node Calculations'!$G$10*'1 Inputs'!$B$10*'1 Inputs'!$B$8</f>
        <v>98.630301359451565</v>
      </c>
      <c r="H13" s="4" t="s">
        <v>109</v>
      </c>
    </row>
    <row r="14" spans="1:13" x14ac:dyDescent="0.2">
      <c r="A14" s="19" t="s">
        <v>110</v>
      </c>
      <c r="G14" s="28">
        <f>ROUNDUP('1 Inputs'!$B$25/'3 Node Calculations'!$G$7,0)</f>
        <v>10</v>
      </c>
      <c r="H14" s="4" t="s">
        <v>42</v>
      </c>
    </row>
    <row r="16" spans="1:13" x14ac:dyDescent="0.2">
      <c r="A16" s="7" t="s">
        <v>111</v>
      </c>
    </row>
    <row r="17" spans="1:13" ht="26" customHeight="1" x14ac:dyDescent="0.2">
      <c r="A17" s="32" t="s">
        <v>112</v>
      </c>
      <c r="B17" s="32" t="s">
        <v>113</v>
      </c>
      <c r="C17" s="32" t="s">
        <v>114</v>
      </c>
      <c r="D17" s="32" t="s">
        <v>115</v>
      </c>
      <c r="E17" s="32" t="s">
        <v>116</v>
      </c>
      <c r="F17" s="32" t="s">
        <v>117</v>
      </c>
      <c r="G17" s="32" t="s">
        <v>118</v>
      </c>
      <c r="H17" s="32" t="s">
        <v>119</v>
      </c>
      <c r="I17" s="32" t="s">
        <v>120</v>
      </c>
      <c r="J17" s="32" t="s">
        <v>121</v>
      </c>
      <c r="K17" s="32" t="s">
        <v>122</v>
      </c>
      <c r="L17" s="32" t="s">
        <v>123</v>
      </c>
      <c r="M17" s="32" t="s">
        <v>124</v>
      </c>
    </row>
    <row r="18" spans="1:13" x14ac:dyDescent="0.2">
      <c r="A18" s="33" t="s">
        <v>42</v>
      </c>
      <c r="B18" s="33" t="s">
        <v>32</v>
      </c>
      <c r="C18" s="33" t="s">
        <v>105</v>
      </c>
      <c r="D18" s="33" t="s">
        <v>105</v>
      </c>
      <c r="E18" s="33" t="s">
        <v>105</v>
      </c>
      <c r="F18" s="33" t="s">
        <v>105</v>
      </c>
      <c r="G18" s="33" t="s">
        <v>105</v>
      </c>
      <c r="H18" s="33" t="s">
        <v>105</v>
      </c>
      <c r="I18" s="33" t="s">
        <v>13</v>
      </c>
      <c r="J18" s="33" t="s">
        <v>109</v>
      </c>
      <c r="K18" s="33" t="s">
        <v>65</v>
      </c>
      <c r="L18" s="33" t="s">
        <v>10</v>
      </c>
      <c r="M18" s="33" t="s">
        <v>125</v>
      </c>
    </row>
    <row r="19" spans="1:13" x14ac:dyDescent="0.2">
      <c r="A19" s="28">
        <v>0</v>
      </c>
      <c r="B19" s="25">
        <f>A19*'3 Node Calculations'!$G$7</f>
        <v>0</v>
      </c>
      <c r="C19" s="21">
        <v>0</v>
      </c>
      <c r="D19" s="21">
        <f>C19</f>
        <v>0</v>
      </c>
      <c r="E19" s="21">
        <f>'3 Node Calculations'!$G$10</f>
        <v>3.9269908169872418</v>
      </c>
      <c r="F19" s="21">
        <f t="shared" ref="F19:F50" si="0">E19+D19</f>
        <v>3.9269908169872418</v>
      </c>
      <c r="G19" s="21">
        <f>'3 Node Calculations'!$G$12</f>
        <v>0.47123889803846902</v>
      </c>
      <c r="H19" s="21">
        <f t="shared" ref="H19:H50" si="1">F19-G19</f>
        <v>3.4557519189487729</v>
      </c>
      <c r="I19" s="22">
        <f t="shared" ref="I19:I50" si="2">G19/F19</f>
        <v>0.12</v>
      </c>
      <c r="J19" s="26">
        <f>'3 Node Calculations'!$G$13</f>
        <v>98.630301359451565</v>
      </c>
      <c r="K19" s="25">
        <f t="shared" ref="K19:K50" si="3">J19/F19</f>
        <v>25.116</v>
      </c>
      <c r="L19" s="25">
        <f>K19/'1 Inputs'!$B$10</f>
        <v>6</v>
      </c>
      <c r="M19" s="27">
        <v>0</v>
      </c>
    </row>
    <row r="20" spans="1:13" ht="15.75" customHeight="1" x14ac:dyDescent="0.2">
      <c r="A20" s="28">
        <f t="shared" ref="A20:A51" si="4">A19+1</f>
        <v>1</v>
      </c>
      <c r="B20" s="25">
        <f>A20*'3 Node Calculations'!$G$7</f>
        <v>0.02</v>
      </c>
      <c r="C20" s="21">
        <f>IF(AND(B20&gt;='1 Inputs'!$B$25,B19&lt;'1 Inputs'!$B$25),'3 Node Calculations'!$G$11,0)</f>
        <v>0</v>
      </c>
      <c r="D20" s="21">
        <f t="shared" ref="D20:D51" si="5">D19+C20</f>
        <v>0</v>
      </c>
      <c r="E20" s="21">
        <f t="shared" ref="E20:E51" si="6">E19</f>
        <v>3.9269908169872418</v>
      </c>
      <c r="F20" s="21">
        <f t="shared" si="0"/>
        <v>3.9269908169872418</v>
      </c>
      <c r="G20" s="21">
        <f t="shared" ref="G20:G51" si="7">G19</f>
        <v>0.47123889803846902</v>
      </c>
      <c r="H20" s="21">
        <f t="shared" si="1"/>
        <v>3.4557519189487729</v>
      </c>
      <c r="I20" s="22">
        <f t="shared" si="2"/>
        <v>0.12</v>
      </c>
      <c r="J20" s="26">
        <f>J19+C20*'2 Steam Properties'!$B$13</f>
        <v>98.630301359451565</v>
      </c>
      <c r="K20" s="25">
        <f t="shared" si="3"/>
        <v>25.116</v>
      </c>
      <c r="L20" s="25">
        <f>K20/'1 Inputs'!$B$10</f>
        <v>6</v>
      </c>
      <c r="M20" s="27">
        <f>J19+C20*'2 Steam Properties'!$B$13-J20</f>
        <v>0</v>
      </c>
    </row>
    <row r="21" spans="1:13" ht="27.75" customHeight="1" x14ac:dyDescent="0.2">
      <c r="A21" s="28">
        <f t="shared" si="4"/>
        <v>2</v>
      </c>
      <c r="B21" s="25">
        <f>A21*'3 Node Calculations'!$G$7</f>
        <v>0.04</v>
      </c>
      <c r="C21" s="21">
        <f>IF(AND(B21&gt;='1 Inputs'!$B$25,B20&lt;'1 Inputs'!$B$25),'3 Node Calculations'!$G$11,0)</f>
        <v>0</v>
      </c>
      <c r="D21" s="21">
        <f t="shared" si="5"/>
        <v>0</v>
      </c>
      <c r="E21" s="21">
        <f t="shared" si="6"/>
        <v>3.9269908169872418</v>
      </c>
      <c r="F21" s="21">
        <f t="shared" si="0"/>
        <v>3.9269908169872418</v>
      </c>
      <c r="G21" s="21">
        <f t="shared" si="7"/>
        <v>0.47123889803846902</v>
      </c>
      <c r="H21" s="21">
        <f t="shared" si="1"/>
        <v>3.4557519189487729</v>
      </c>
      <c r="I21" s="22">
        <f t="shared" si="2"/>
        <v>0.12</v>
      </c>
      <c r="J21" s="26">
        <f>J20+C21*'2 Steam Properties'!$B$13</f>
        <v>98.630301359451565</v>
      </c>
      <c r="K21" s="25">
        <f t="shared" si="3"/>
        <v>25.116</v>
      </c>
      <c r="L21" s="25">
        <f>K21/'1 Inputs'!$B$10</f>
        <v>6</v>
      </c>
      <c r="M21" s="27">
        <f>J20+C21*'2 Steam Properties'!$B$13-J21</f>
        <v>0</v>
      </c>
    </row>
    <row r="22" spans="1:13" x14ac:dyDescent="0.2">
      <c r="A22" s="28">
        <f t="shared" si="4"/>
        <v>3</v>
      </c>
      <c r="B22" s="25">
        <f>A22*'3 Node Calculations'!$G$7</f>
        <v>0.06</v>
      </c>
      <c r="C22" s="21">
        <f>IF(AND(B22&gt;='1 Inputs'!$B$25,B21&lt;'1 Inputs'!$B$25),'3 Node Calculations'!$G$11,0)</f>
        <v>0</v>
      </c>
      <c r="D22" s="21">
        <f t="shared" si="5"/>
        <v>0</v>
      </c>
      <c r="E22" s="21">
        <f t="shared" si="6"/>
        <v>3.9269908169872418</v>
      </c>
      <c r="F22" s="21">
        <f t="shared" si="0"/>
        <v>3.9269908169872418</v>
      </c>
      <c r="G22" s="21">
        <f t="shared" si="7"/>
        <v>0.47123889803846902</v>
      </c>
      <c r="H22" s="21">
        <f t="shared" si="1"/>
        <v>3.4557519189487729</v>
      </c>
      <c r="I22" s="22">
        <f t="shared" si="2"/>
        <v>0.12</v>
      </c>
      <c r="J22" s="26">
        <f>J21+C22*'2 Steam Properties'!$B$13</f>
        <v>98.630301359451565</v>
      </c>
      <c r="K22" s="25">
        <f t="shared" si="3"/>
        <v>25.116</v>
      </c>
      <c r="L22" s="25">
        <f>K22/'1 Inputs'!$B$10</f>
        <v>6</v>
      </c>
      <c r="M22" s="27">
        <f>J21+C22*'2 Steam Properties'!$B$13-J22</f>
        <v>0</v>
      </c>
    </row>
    <row r="23" spans="1:13" x14ac:dyDescent="0.2">
      <c r="A23" s="28">
        <f t="shared" si="4"/>
        <v>4</v>
      </c>
      <c r="B23" s="25">
        <f>A23*'3 Node Calculations'!$G$7</f>
        <v>0.08</v>
      </c>
      <c r="C23" s="21">
        <f>IF(AND(B23&gt;='1 Inputs'!$B$25,B22&lt;'1 Inputs'!$B$25),'3 Node Calculations'!$G$11,0)</f>
        <v>0</v>
      </c>
      <c r="D23" s="21">
        <f t="shared" si="5"/>
        <v>0</v>
      </c>
      <c r="E23" s="21">
        <f t="shared" si="6"/>
        <v>3.9269908169872418</v>
      </c>
      <c r="F23" s="21">
        <f t="shared" si="0"/>
        <v>3.9269908169872418</v>
      </c>
      <c r="G23" s="21">
        <f t="shared" si="7"/>
        <v>0.47123889803846902</v>
      </c>
      <c r="H23" s="21">
        <f t="shared" si="1"/>
        <v>3.4557519189487729</v>
      </c>
      <c r="I23" s="22">
        <f t="shared" si="2"/>
        <v>0.12</v>
      </c>
      <c r="J23" s="26">
        <f>J22+C23*'2 Steam Properties'!$B$13</f>
        <v>98.630301359451565</v>
      </c>
      <c r="K23" s="25">
        <f t="shared" si="3"/>
        <v>25.116</v>
      </c>
      <c r="L23" s="25">
        <f>K23/'1 Inputs'!$B$10</f>
        <v>6</v>
      </c>
      <c r="M23" s="27">
        <f>J22+C23*'2 Steam Properties'!$B$13-J23</f>
        <v>0</v>
      </c>
    </row>
    <row r="24" spans="1:13" x14ac:dyDescent="0.2">
      <c r="A24" s="28">
        <f t="shared" si="4"/>
        <v>5</v>
      </c>
      <c r="B24" s="25">
        <f>A24*'3 Node Calculations'!$G$7</f>
        <v>0.1</v>
      </c>
      <c r="C24" s="21">
        <f>IF(AND(B24&gt;='1 Inputs'!$B$25,B23&lt;'1 Inputs'!$B$25),'3 Node Calculations'!$G$11,0)</f>
        <v>0</v>
      </c>
      <c r="D24" s="21">
        <f t="shared" si="5"/>
        <v>0</v>
      </c>
      <c r="E24" s="21">
        <f t="shared" si="6"/>
        <v>3.9269908169872418</v>
      </c>
      <c r="F24" s="21">
        <f t="shared" si="0"/>
        <v>3.9269908169872418</v>
      </c>
      <c r="G24" s="21">
        <f t="shared" si="7"/>
        <v>0.47123889803846902</v>
      </c>
      <c r="H24" s="21">
        <f t="shared" si="1"/>
        <v>3.4557519189487729</v>
      </c>
      <c r="I24" s="22">
        <f t="shared" si="2"/>
        <v>0.12</v>
      </c>
      <c r="J24" s="26">
        <f>J23+C24*'2 Steam Properties'!$B$13</f>
        <v>98.630301359451565</v>
      </c>
      <c r="K24" s="25">
        <f t="shared" si="3"/>
        <v>25.116</v>
      </c>
      <c r="L24" s="25">
        <f>K24/'1 Inputs'!$B$10</f>
        <v>6</v>
      </c>
      <c r="M24" s="27">
        <f>J23+C24*'2 Steam Properties'!$B$13-J24</f>
        <v>0</v>
      </c>
    </row>
    <row r="25" spans="1:13" x14ac:dyDescent="0.2">
      <c r="A25" s="28">
        <f t="shared" si="4"/>
        <v>6</v>
      </c>
      <c r="B25" s="25">
        <f>A25*'3 Node Calculations'!$G$7</f>
        <v>0.12</v>
      </c>
      <c r="C25" s="21">
        <f>IF(AND(B25&gt;='1 Inputs'!$B$25,B24&lt;'1 Inputs'!$B$25),'3 Node Calculations'!$G$11,0)</f>
        <v>0</v>
      </c>
      <c r="D25" s="21">
        <f t="shared" si="5"/>
        <v>0</v>
      </c>
      <c r="E25" s="21">
        <f t="shared" si="6"/>
        <v>3.9269908169872418</v>
      </c>
      <c r="F25" s="21">
        <f t="shared" si="0"/>
        <v>3.9269908169872418</v>
      </c>
      <c r="G25" s="21">
        <f t="shared" si="7"/>
        <v>0.47123889803846902</v>
      </c>
      <c r="H25" s="21">
        <f t="shared" si="1"/>
        <v>3.4557519189487729</v>
      </c>
      <c r="I25" s="22">
        <f t="shared" si="2"/>
        <v>0.12</v>
      </c>
      <c r="J25" s="26">
        <f>J24+C25*'2 Steam Properties'!$B$13</f>
        <v>98.630301359451565</v>
      </c>
      <c r="K25" s="25">
        <f t="shared" si="3"/>
        <v>25.116</v>
      </c>
      <c r="L25" s="25">
        <f>K25/'1 Inputs'!$B$10</f>
        <v>6</v>
      </c>
      <c r="M25" s="27">
        <f>J24+C25*'2 Steam Properties'!$B$13-J25</f>
        <v>0</v>
      </c>
    </row>
    <row r="26" spans="1:13" x14ac:dyDescent="0.2">
      <c r="A26" s="28">
        <f t="shared" si="4"/>
        <v>7</v>
      </c>
      <c r="B26" s="25">
        <f>A26*'3 Node Calculations'!$G$7</f>
        <v>0.14000000000000001</v>
      </c>
      <c r="C26" s="21">
        <f>IF(AND(B26&gt;='1 Inputs'!$B$25,B25&lt;'1 Inputs'!$B$25),'3 Node Calculations'!$G$11,0)</f>
        <v>0</v>
      </c>
      <c r="D26" s="21">
        <f t="shared" si="5"/>
        <v>0</v>
      </c>
      <c r="E26" s="21">
        <f t="shared" si="6"/>
        <v>3.9269908169872418</v>
      </c>
      <c r="F26" s="21">
        <f t="shared" si="0"/>
        <v>3.9269908169872418</v>
      </c>
      <c r="G26" s="21">
        <f t="shared" si="7"/>
        <v>0.47123889803846902</v>
      </c>
      <c r="H26" s="21">
        <f t="shared" si="1"/>
        <v>3.4557519189487729</v>
      </c>
      <c r="I26" s="22">
        <f t="shared" si="2"/>
        <v>0.12</v>
      </c>
      <c r="J26" s="26">
        <f>J25+C26*'2 Steam Properties'!$B$13</f>
        <v>98.630301359451565</v>
      </c>
      <c r="K26" s="25">
        <f t="shared" si="3"/>
        <v>25.116</v>
      </c>
      <c r="L26" s="25">
        <f>K26/'1 Inputs'!$B$10</f>
        <v>6</v>
      </c>
      <c r="M26" s="27">
        <f>J25+C26*'2 Steam Properties'!$B$13-J26</f>
        <v>0</v>
      </c>
    </row>
    <row r="27" spans="1:13" x14ac:dyDescent="0.2">
      <c r="A27" s="28">
        <f t="shared" si="4"/>
        <v>8</v>
      </c>
      <c r="B27" s="25">
        <f>A27*'3 Node Calculations'!$G$7</f>
        <v>0.16</v>
      </c>
      <c r="C27" s="21">
        <f>IF(AND(B27&gt;='1 Inputs'!$B$25,B26&lt;'1 Inputs'!$B$25),'3 Node Calculations'!$G$11,0)</f>
        <v>0</v>
      </c>
      <c r="D27" s="21">
        <f t="shared" si="5"/>
        <v>0</v>
      </c>
      <c r="E27" s="21">
        <f t="shared" si="6"/>
        <v>3.9269908169872418</v>
      </c>
      <c r="F27" s="21">
        <f t="shared" si="0"/>
        <v>3.9269908169872418</v>
      </c>
      <c r="G27" s="21">
        <f t="shared" si="7"/>
        <v>0.47123889803846902</v>
      </c>
      <c r="H27" s="21">
        <f t="shared" si="1"/>
        <v>3.4557519189487729</v>
      </c>
      <c r="I27" s="22">
        <f t="shared" si="2"/>
        <v>0.12</v>
      </c>
      <c r="J27" s="26">
        <f>J26+C27*'2 Steam Properties'!$B$13</f>
        <v>98.630301359451565</v>
      </c>
      <c r="K27" s="25">
        <f t="shared" si="3"/>
        <v>25.116</v>
      </c>
      <c r="L27" s="25">
        <f>K27/'1 Inputs'!$B$10</f>
        <v>6</v>
      </c>
      <c r="M27" s="27">
        <f>J26+C27*'2 Steam Properties'!$B$13-J27</f>
        <v>0</v>
      </c>
    </row>
    <row r="28" spans="1:13" x14ac:dyDescent="0.2">
      <c r="A28" s="28">
        <f t="shared" si="4"/>
        <v>9</v>
      </c>
      <c r="B28" s="25">
        <f>A28*'3 Node Calculations'!$G$7</f>
        <v>0.18</v>
      </c>
      <c r="C28" s="21">
        <f>IF(AND(B28&gt;='1 Inputs'!$B$25,B27&lt;'1 Inputs'!$B$25),'3 Node Calculations'!$G$11,0)</f>
        <v>0</v>
      </c>
      <c r="D28" s="21">
        <f t="shared" si="5"/>
        <v>0</v>
      </c>
      <c r="E28" s="21">
        <f t="shared" si="6"/>
        <v>3.9269908169872418</v>
      </c>
      <c r="F28" s="21">
        <f t="shared" si="0"/>
        <v>3.9269908169872418</v>
      </c>
      <c r="G28" s="21">
        <f t="shared" si="7"/>
        <v>0.47123889803846902</v>
      </c>
      <c r="H28" s="21">
        <f t="shared" si="1"/>
        <v>3.4557519189487729</v>
      </c>
      <c r="I28" s="22">
        <f t="shared" si="2"/>
        <v>0.12</v>
      </c>
      <c r="J28" s="26">
        <f>J27+C28*'2 Steam Properties'!$B$13</f>
        <v>98.630301359451565</v>
      </c>
      <c r="K28" s="25">
        <f t="shared" si="3"/>
        <v>25.116</v>
      </c>
      <c r="L28" s="25">
        <f>K28/'1 Inputs'!$B$10</f>
        <v>6</v>
      </c>
      <c r="M28" s="27">
        <f>J27+C28*'2 Steam Properties'!$B$13-J28</f>
        <v>0</v>
      </c>
    </row>
    <row r="29" spans="1:13" x14ac:dyDescent="0.2">
      <c r="A29" s="28">
        <f t="shared" si="4"/>
        <v>10</v>
      </c>
      <c r="B29" s="25">
        <f>A29*'3 Node Calculations'!$G$7</f>
        <v>0.2</v>
      </c>
      <c r="C29" s="21">
        <f>IF(AND(B29&gt;='1 Inputs'!$B$25,B28&lt;'1 Inputs'!$B$25),'3 Node Calculations'!$G$11,0)</f>
        <v>0.44166666666666665</v>
      </c>
      <c r="D29" s="21">
        <f t="shared" si="5"/>
        <v>0.44166666666666665</v>
      </c>
      <c r="E29" s="21">
        <f t="shared" si="6"/>
        <v>3.9269908169872418</v>
      </c>
      <c r="F29" s="21">
        <f t="shared" si="0"/>
        <v>4.3686574836539087</v>
      </c>
      <c r="G29" s="21">
        <f t="shared" si="7"/>
        <v>0.47123889803846902</v>
      </c>
      <c r="H29" s="21">
        <f t="shared" si="1"/>
        <v>3.8974185856154397</v>
      </c>
      <c r="I29" s="22">
        <f t="shared" si="2"/>
        <v>0.10786812649004672</v>
      </c>
      <c r="J29" s="26">
        <f>J28+C29*'2 Steam Properties'!$B$13</f>
        <v>1315.9078013594515</v>
      </c>
      <c r="K29" s="25">
        <f t="shared" si="3"/>
        <v>301.21560371421867</v>
      </c>
      <c r="L29" s="25">
        <f>K29/'1 Inputs'!$B$10</f>
        <v>71.957860419068012</v>
      </c>
      <c r="M29" s="27">
        <f>J28+C29*'2 Steam Properties'!$B$13-J29</f>
        <v>0</v>
      </c>
    </row>
    <row r="30" spans="1:13" x14ac:dyDescent="0.2">
      <c r="A30" s="28">
        <f t="shared" si="4"/>
        <v>11</v>
      </c>
      <c r="B30" s="25">
        <f>A30*'3 Node Calculations'!$G$7</f>
        <v>0.22</v>
      </c>
      <c r="C30" s="21">
        <f>IF(AND(B30&gt;='1 Inputs'!$B$25,B29&lt;'1 Inputs'!$B$25),'3 Node Calculations'!$G$11,0)</f>
        <v>0</v>
      </c>
      <c r="D30" s="21">
        <f t="shared" si="5"/>
        <v>0.44166666666666665</v>
      </c>
      <c r="E30" s="21">
        <f t="shared" si="6"/>
        <v>3.9269908169872418</v>
      </c>
      <c r="F30" s="21">
        <f t="shared" si="0"/>
        <v>4.3686574836539087</v>
      </c>
      <c r="G30" s="21">
        <f t="shared" si="7"/>
        <v>0.47123889803846902</v>
      </c>
      <c r="H30" s="21">
        <f t="shared" si="1"/>
        <v>3.8974185856154397</v>
      </c>
      <c r="I30" s="22">
        <f t="shared" si="2"/>
        <v>0.10786812649004672</v>
      </c>
      <c r="J30" s="26">
        <f>J29+C30*'2 Steam Properties'!$B$13</f>
        <v>1315.9078013594515</v>
      </c>
      <c r="K30" s="25">
        <f t="shared" si="3"/>
        <v>301.21560371421867</v>
      </c>
      <c r="L30" s="25">
        <f>K30/'1 Inputs'!$B$10</f>
        <v>71.957860419068012</v>
      </c>
      <c r="M30" s="27">
        <f>J29+C30*'2 Steam Properties'!$B$13-J30</f>
        <v>0</v>
      </c>
    </row>
    <row r="31" spans="1:13" x14ac:dyDescent="0.2">
      <c r="A31" s="28">
        <f t="shared" si="4"/>
        <v>12</v>
      </c>
      <c r="B31" s="25">
        <f>A31*'3 Node Calculations'!$G$7</f>
        <v>0.24</v>
      </c>
      <c r="C31" s="21">
        <f>IF(AND(B31&gt;='1 Inputs'!$B$25,B30&lt;'1 Inputs'!$B$25),'3 Node Calculations'!$G$11,0)</f>
        <v>0</v>
      </c>
      <c r="D31" s="21">
        <f t="shared" si="5"/>
        <v>0.44166666666666665</v>
      </c>
      <c r="E31" s="21">
        <f t="shared" si="6"/>
        <v>3.9269908169872418</v>
      </c>
      <c r="F31" s="21">
        <f t="shared" si="0"/>
        <v>4.3686574836539087</v>
      </c>
      <c r="G31" s="21">
        <f t="shared" si="7"/>
        <v>0.47123889803846902</v>
      </c>
      <c r="H31" s="21">
        <f t="shared" si="1"/>
        <v>3.8974185856154397</v>
      </c>
      <c r="I31" s="22">
        <f t="shared" si="2"/>
        <v>0.10786812649004672</v>
      </c>
      <c r="J31" s="26">
        <f>J30+C31*'2 Steam Properties'!$B$13</f>
        <v>1315.9078013594515</v>
      </c>
      <c r="K31" s="25">
        <f t="shared" si="3"/>
        <v>301.21560371421867</v>
      </c>
      <c r="L31" s="25">
        <f>K31/'1 Inputs'!$B$10</f>
        <v>71.957860419068012</v>
      </c>
      <c r="M31" s="27">
        <f>J30+C31*'2 Steam Properties'!$B$13-J31</f>
        <v>0</v>
      </c>
    </row>
    <row r="32" spans="1:13" x14ac:dyDescent="0.2">
      <c r="A32" s="28">
        <f t="shared" si="4"/>
        <v>13</v>
      </c>
      <c r="B32" s="25">
        <f>A32*'3 Node Calculations'!$G$7</f>
        <v>0.26</v>
      </c>
      <c r="C32" s="21">
        <f>IF(AND(B32&gt;='1 Inputs'!$B$25,B31&lt;'1 Inputs'!$B$25),'3 Node Calculations'!$G$11,0)</f>
        <v>0</v>
      </c>
      <c r="D32" s="21">
        <f t="shared" si="5"/>
        <v>0.44166666666666665</v>
      </c>
      <c r="E32" s="21">
        <f t="shared" si="6"/>
        <v>3.9269908169872418</v>
      </c>
      <c r="F32" s="21">
        <f t="shared" si="0"/>
        <v>4.3686574836539087</v>
      </c>
      <c r="G32" s="21">
        <f t="shared" si="7"/>
        <v>0.47123889803846902</v>
      </c>
      <c r="H32" s="21">
        <f t="shared" si="1"/>
        <v>3.8974185856154397</v>
      </c>
      <c r="I32" s="22">
        <f t="shared" si="2"/>
        <v>0.10786812649004672</v>
      </c>
      <c r="J32" s="26">
        <f>J31+C32*'2 Steam Properties'!$B$13</f>
        <v>1315.9078013594515</v>
      </c>
      <c r="K32" s="25">
        <f t="shared" si="3"/>
        <v>301.21560371421867</v>
      </c>
      <c r="L32" s="25">
        <f>K32/'1 Inputs'!$B$10</f>
        <v>71.957860419068012</v>
      </c>
      <c r="M32" s="27">
        <f>J31+C32*'2 Steam Properties'!$B$13-J32</f>
        <v>0</v>
      </c>
    </row>
    <row r="33" spans="1:13" x14ac:dyDescent="0.2">
      <c r="A33" s="28">
        <f t="shared" si="4"/>
        <v>14</v>
      </c>
      <c r="B33" s="25">
        <f>A33*'3 Node Calculations'!$G$7</f>
        <v>0.28000000000000003</v>
      </c>
      <c r="C33" s="21">
        <f>IF(AND(B33&gt;='1 Inputs'!$B$25,B32&lt;'1 Inputs'!$B$25),'3 Node Calculations'!$G$11,0)</f>
        <v>0</v>
      </c>
      <c r="D33" s="21">
        <f t="shared" si="5"/>
        <v>0.44166666666666665</v>
      </c>
      <c r="E33" s="21">
        <f t="shared" si="6"/>
        <v>3.9269908169872418</v>
      </c>
      <c r="F33" s="21">
        <f t="shared" si="0"/>
        <v>4.3686574836539087</v>
      </c>
      <c r="G33" s="21">
        <f t="shared" si="7"/>
        <v>0.47123889803846902</v>
      </c>
      <c r="H33" s="21">
        <f t="shared" si="1"/>
        <v>3.8974185856154397</v>
      </c>
      <c r="I33" s="22">
        <f t="shared" si="2"/>
        <v>0.10786812649004672</v>
      </c>
      <c r="J33" s="26">
        <f>J32+C33*'2 Steam Properties'!$B$13</f>
        <v>1315.9078013594515</v>
      </c>
      <c r="K33" s="25">
        <f t="shared" si="3"/>
        <v>301.21560371421867</v>
      </c>
      <c r="L33" s="25">
        <f>K33/'1 Inputs'!$B$10</f>
        <v>71.957860419068012</v>
      </c>
      <c r="M33" s="27">
        <f>J32+C33*'2 Steam Properties'!$B$13-J33</f>
        <v>0</v>
      </c>
    </row>
    <row r="34" spans="1:13" x14ac:dyDescent="0.2">
      <c r="A34" s="28">
        <f t="shared" si="4"/>
        <v>15</v>
      </c>
      <c r="B34" s="25">
        <f>A34*'3 Node Calculations'!$G$7</f>
        <v>0.3</v>
      </c>
      <c r="C34" s="21">
        <f>IF(AND(B34&gt;='1 Inputs'!$B$25,B33&lt;'1 Inputs'!$B$25),'3 Node Calculations'!$G$11,0)</f>
        <v>0</v>
      </c>
      <c r="D34" s="21">
        <f t="shared" si="5"/>
        <v>0.44166666666666665</v>
      </c>
      <c r="E34" s="21">
        <f t="shared" si="6"/>
        <v>3.9269908169872418</v>
      </c>
      <c r="F34" s="21">
        <f t="shared" si="0"/>
        <v>4.3686574836539087</v>
      </c>
      <c r="G34" s="21">
        <f t="shared" si="7"/>
        <v>0.47123889803846902</v>
      </c>
      <c r="H34" s="21">
        <f t="shared" si="1"/>
        <v>3.8974185856154397</v>
      </c>
      <c r="I34" s="22">
        <f t="shared" si="2"/>
        <v>0.10786812649004672</v>
      </c>
      <c r="J34" s="26">
        <f>J33+C34*'2 Steam Properties'!$B$13</f>
        <v>1315.9078013594515</v>
      </c>
      <c r="K34" s="25">
        <f t="shared" si="3"/>
        <v>301.21560371421867</v>
      </c>
      <c r="L34" s="25">
        <f>K34/'1 Inputs'!$B$10</f>
        <v>71.957860419068012</v>
      </c>
      <c r="M34" s="27">
        <f>J33+C34*'2 Steam Properties'!$B$13-J34</f>
        <v>0</v>
      </c>
    </row>
    <row r="35" spans="1:13" x14ac:dyDescent="0.2">
      <c r="A35" s="28">
        <f t="shared" si="4"/>
        <v>16</v>
      </c>
      <c r="B35" s="25">
        <f>A35*'3 Node Calculations'!$G$7</f>
        <v>0.32</v>
      </c>
      <c r="C35" s="21">
        <f>IF(AND(B35&gt;='1 Inputs'!$B$25,B34&lt;'1 Inputs'!$B$25),'3 Node Calculations'!$G$11,0)</f>
        <v>0</v>
      </c>
      <c r="D35" s="21">
        <f t="shared" si="5"/>
        <v>0.44166666666666665</v>
      </c>
      <c r="E35" s="21">
        <f t="shared" si="6"/>
        <v>3.9269908169872418</v>
      </c>
      <c r="F35" s="21">
        <f t="shared" si="0"/>
        <v>4.3686574836539087</v>
      </c>
      <c r="G35" s="21">
        <f t="shared" si="7"/>
        <v>0.47123889803846902</v>
      </c>
      <c r="H35" s="21">
        <f t="shared" si="1"/>
        <v>3.8974185856154397</v>
      </c>
      <c r="I35" s="22">
        <f t="shared" si="2"/>
        <v>0.10786812649004672</v>
      </c>
      <c r="J35" s="26">
        <f>J34+C35*'2 Steam Properties'!$B$13</f>
        <v>1315.9078013594515</v>
      </c>
      <c r="K35" s="25">
        <f t="shared" si="3"/>
        <v>301.21560371421867</v>
      </c>
      <c r="L35" s="25">
        <f>K35/'1 Inputs'!$B$10</f>
        <v>71.957860419068012</v>
      </c>
      <c r="M35" s="27">
        <f>J34+C35*'2 Steam Properties'!$B$13-J35</f>
        <v>0</v>
      </c>
    </row>
    <row r="36" spans="1:13" x14ac:dyDescent="0.2">
      <c r="A36" s="28">
        <f t="shared" si="4"/>
        <v>17</v>
      </c>
      <c r="B36" s="25">
        <f>A36*'3 Node Calculations'!$G$7</f>
        <v>0.34</v>
      </c>
      <c r="C36" s="21">
        <f>IF(AND(B36&gt;='1 Inputs'!$B$25,B35&lt;'1 Inputs'!$B$25),'3 Node Calculations'!$G$11,0)</f>
        <v>0</v>
      </c>
      <c r="D36" s="21">
        <f t="shared" si="5"/>
        <v>0.44166666666666665</v>
      </c>
      <c r="E36" s="21">
        <f t="shared" si="6"/>
        <v>3.9269908169872418</v>
      </c>
      <c r="F36" s="21">
        <f t="shared" si="0"/>
        <v>4.3686574836539087</v>
      </c>
      <c r="G36" s="21">
        <f t="shared" si="7"/>
        <v>0.47123889803846902</v>
      </c>
      <c r="H36" s="21">
        <f t="shared" si="1"/>
        <v>3.8974185856154397</v>
      </c>
      <c r="I36" s="22">
        <f t="shared" si="2"/>
        <v>0.10786812649004672</v>
      </c>
      <c r="J36" s="26">
        <f>J35+C36*'2 Steam Properties'!$B$13</f>
        <v>1315.9078013594515</v>
      </c>
      <c r="K36" s="25">
        <f t="shared" si="3"/>
        <v>301.21560371421867</v>
      </c>
      <c r="L36" s="25">
        <f>K36/'1 Inputs'!$B$10</f>
        <v>71.957860419068012</v>
      </c>
      <c r="M36" s="27">
        <f>J35+C36*'2 Steam Properties'!$B$13-J36</f>
        <v>0</v>
      </c>
    </row>
    <row r="37" spans="1:13" x14ac:dyDescent="0.2">
      <c r="A37" s="28">
        <f t="shared" si="4"/>
        <v>18</v>
      </c>
      <c r="B37" s="25">
        <f>A37*'3 Node Calculations'!$G$7</f>
        <v>0.36</v>
      </c>
      <c r="C37" s="21">
        <f>IF(AND(B37&gt;='1 Inputs'!$B$25,B36&lt;'1 Inputs'!$B$25),'3 Node Calculations'!$G$11,0)</f>
        <v>0</v>
      </c>
      <c r="D37" s="21">
        <f t="shared" si="5"/>
        <v>0.44166666666666665</v>
      </c>
      <c r="E37" s="21">
        <f t="shared" si="6"/>
        <v>3.9269908169872418</v>
      </c>
      <c r="F37" s="21">
        <f t="shared" si="0"/>
        <v>4.3686574836539087</v>
      </c>
      <c r="G37" s="21">
        <f t="shared" si="7"/>
        <v>0.47123889803846902</v>
      </c>
      <c r="H37" s="21">
        <f t="shared" si="1"/>
        <v>3.8974185856154397</v>
      </c>
      <c r="I37" s="22">
        <f t="shared" si="2"/>
        <v>0.10786812649004672</v>
      </c>
      <c r="J37" s="26">
        <f>J36+C37*'2 Steam Properties'!$B$13</f>
        <v>1315.9078013594515</v>
      </c>
      <c r="K37" s="25">
        <f t="shared" si="3"/>
        <v>301.21560371421867</v>
      </c>
      <c r="L37" s="25">
        <f>K37/'1 Inputs'!$B$10</f>
        <v>71.957860419068012</v>
      </c>
      <c r="M37" s="27">
        <f>J36+C37*'2 Steam Properties'!$B$13-J37</f>
        <v>0</v>
      </c>
    </row>
    <row r="38" spans="1:13" x14ac:dyDescent="0.2">
      <c r="A38" s="28">
        <f t="shared" si="4"/>
        <v>19</v>
      </c>
      <c r="B38" s="25">
        <f>A38*'3 Node Calculations'!$G$7</f>
        <v>0.38</v>
      </c>
      <c r="C38" s="21">
        <f>IF(AND(B38&gt;='1 Inputs'!$B$25,B37&lt;'1 Inputs'!$B$25),'3 Node Calculations'!$G$11,0)</f>
        <v>0</v>
      </c>
      <c r="D38" s="21">
        <f t="shared" si="5"/>
        <v>0.44166666666666665</v>
      </c>
      <c r="E38" s="21">
        <f t="shared" si="6"/>
        <v>3.9269908169872418</v>
      </c>
      <c r="F38" s="21">
        <f t="shared" si="0"/>
        <v>4.3686574836539087</v>
      </c>
      <c r="G38" s="21">
        <f t="shared" si="7"/>
        <v>0.47123889803846902</v>
      </c>
      <c r="H38" s="21">
        <f t="shared" si="1"/>
        <v>3.8974185856154397</v>
      </c>
      <c r="I38" s="22">
        <f t="shared" si="2"/>
        <v>0.10786812649004672</v>
      </c>
      <c r="J38" s="26">
        <f>J37+C38*'2 Steam Properties'!$B$13</f>
        <v>1315.9078013594515</v>
      </c>
      <c r="K38" s="25">
        <f t="shared" si="3"/>
        <v>301.21560371421867</v>
      </c>
      <c r="L38" s="25">
        <f>K38/'1 Inputs'!$B$10</f>
        <v>71.957860419068012</v>
      </c>
      <c r="M38" s="27">
        <f>J37+C38*'2 Steam Properties'!$B$13-J38</f>
        <v>0</v>
      </c>
    </row>
    <row r="39" spans="1:13" x14ac:dyDescent="0.2">
      <c r="A39" s="28">
        <f t="shared" si="4"/>
        <v>20</v>
      </c>
      <c r="B39" s="25">
        <f>A39*'3 Node Calculations'!$G$7</f>
        <v>0.4</v>
      </c>
      <c r="C39" s="21">
        <f>IF(AND(B39&gt;='1 Inputs'!$B$25,B38&lt;'1 Inputs'!$B$25),'3 Node Calculations'!$G$11,0)</f>
        <v>0</v>
      </c>
      <c r="D39" s="21">
        <f t="shared" si="5"/>
        <v>0.44166666666666665</v>
      </c>
      <c r="E39" s="21">
        <f t="shared" si="6"/>
        <v>3.9269908169872418</v>
      </c>
      <c r="F39" s="21">
        <f t="shared" si="0"/>
        <v>4.3686574836539087</v>
      </c>
      <c r="G39" s="21">
        <f t="shared" si="7"/>
        <v>0.47123889803846902</v>
      </c>
      <c r="H39" s="21">
        <f t="shared" si="1"/>
        <v>3.8974185856154397</v>
      </c>
      <c r="I39" s="22">
        <f t="shared" si="2"/>
        <v>0.10786812649004672</v>
      </c>
      <c r="J39" s="26">
        <f>J38+C39*'2 Steam Properties'!$B$13</f>
        <v>1315.9078013594515</v>
      </c>
      <c r="K39" s="25">
        <f t="shared" si="3"/>
        <v>301.21560371421867</v>
      </c>
      <c r="L39" s="25">
        <f>K39/'1 Inputs'!$B$10</f>
        <v>71.957860419068012</v>
      </c>
      <c r="M39" s="27">
        <f>J38+C39*'2 Steam Properties'!$B$13-J39</f>
        <v>0</v>
      </c>
    </row>
    <row r="40" spans="1:13" x14ac:dyDescent="0.2">
      <c r="A40" s="28">
        <f t="shared" si="4"/>
        <v>21</v>
      </c>
      <c r="B40" s="25">
        <f>A40*'3 Node Calculations'!$G$7</f>
        <v>0.42</v>
      </c>
      <c r="C40" s="21">
        <f>IF(AND(B40&gt;='1 Inputs'!$B$25,B39&lt;'1 Inputs'!$B$25),'3 Node Calculations'!$G$11,0)</f>
        <v>0</v>
      </c>
      <c r="D40" s="21">
        <f t="shared" si="5"/>
        <v>0.44166666666666665</v>
      </c>
      <c r="E40" s="21">
        <f t="shared" si="6"/>
        <v>3.9269908169872418</v>
      </c>
      <c r="F40" s="21">
        <f t="shared" si="0"/>
        <v>4.3686574836539087</v>
      </c>
      <c r="G40" s="21">
        <f t="shared" si="7"/>
        <v>0.47123889803846902</v>
      </c>
      <c r="H40" s="21">
        <f t="shared" si="1"/>
        <v>3.8974185856154397</v>
      </c>
      <c r="I40" s="22">
        <f t="shared" si="2"/>
        <v>0.10786812649004672</v>
      </c>
      <c r="J40" s="26">
        <f>J39+C40*'2 Steam Properties'!$B$13</f>
        <v>1315.9078013594515</v>
      </c>
      <c r="K40" s="25">
        <f t="shared" si="3"/>
        <v>301.21560371421867</v>
      </c>
      <c r="L40" s="25">
        <f>K40/'1 Inputs'!$B$10</f>
        <v>71.957860419068012</v>
      </c>
      <c r="M40" s="27">
        <f>J39+C40*'2 Steam Properties'!$B$13-J40</f>
        <v>0</v>
      </c>
    </row>
    <row r="41" spans="1:13" x14ac:dyDescent="0.2">
      <c r="A41" s="28">
        <f t="shared" si="4"/>
        <v>22</v>
      </c>
      <c r="B41" s="25">
        <f>A41*'3 Node Calculations'!$G$7</f>
        <v>0.44</v>
      </c>
      <c r="C41" s="21">
        <f>IF(AND(B41&gt;='1 Inputs'!$B$25,B40&lt;'1 Inputs'!$B$25),'3 Node Calculations'!$G$11,0)</f>
        <v>0</v>
      </c>
      <c r="D41" s="21">
        <f t="shared" si="5"/>
        <v>0.44166666666666665</v>
      </c>
      <c r="E41" s="21">
        <f t="shared" si="6"/>
        <v>3.9269908169872418</v>
      </c>
      <c r="F41" s="21">
        <f t="shared" si="0"/>
        <v>4.3686574836539087</v>
      </c>
      <c r="G41" s="21">
        <f t="shared" si="7"/>
        <v>0.47123889803846902</v>
      </c>
      <c r="H41" s="21">
        <f t="shared" si="1"/>
        <v>3.8974185856154397</v>
      </c>
      <c r="I41" s="22">
        <f t="shared" si="2"/>
        <v>0.10786812649004672</v>
      </c>
      <c r="J41" s="26">
        <f>J40+C41*'2 Steam Properties'!$B$13</f>
        <v>1315.9078013594515</v>
      </c>
      <c r="K41" s="25">
        <f t="shared" si="3"/>
        <v>301.21560371421867</v>
      </c>
      <c r="L41" s="25">
        <f>K41/'1 Inputs'!$B$10</f>
        <v>71.957860419068012</v>
      </c>
      <c r="M41" s="27">
        <f>J40+C41*'2 Steam Properties'!$B$13-J41</f>
        <v>0</v>
      </c>
    </row>
    <row r="42" spans="1:13" x14ac:dyDescent="0.2">
      <c r="A42" s="28">
        <f t="shared" si="4"/>
        <v>23</v>
      </c>
      <c r="B42" s="25">
        <f>A42*'3 Node Calculations'!$G$7</f>
        <v>0.46</v>
      </c>
      <c r="C42" s="21">
        <f>IF(AND(B42&gt;='1 Inputs'!$B$25,B41&lt;'1 Inputs'!$B$25),'3 Node Calculations'!$G$11,0)</f>
        <v>0</v>
      </c>
      <c r="D42" s="21">
        <f t="shared" si="5"/>
        <v>0.44166666666666665</v>
      </c>
      <c r="E42" s="21">
        <f t="shared" si="6"/>
        <v>3.9269908169872418</v>
      </c>
      <c r="F42" s="21">
        <f t="shared" si="0"/>
        <v>4.3686574836539087</v>
      </c>
      <c r="G42" s="21">
        <f t="shared" si="7"/>
        <v>0.47123889803846902</v>
      </c>
      <c r="H42" s="21">
        <f t="shared" si="1"/>
        <v>3.8974185856154397</v>
      </c>
      <c r="I42" s="22">
        <f t="shared" si="2"/>
        <v>0.10786812649004672</v>
      </c>
      <c r="J42" s="26">
        <f>J41+C42*'2 Steam Properties'!$B$13</f>
        <v>1315.9078013594515</v>
      </c>
      <c r="K42" s="25">
        <f t="shared" si="3"/>
        <v>301.21560371421867</v>
      </c>
      <c r="L42" s="25">
        <f>K42/'1 Inputs'!$B$10</f>
        <v>71.957860419068012</v>
      </c>
      <c r="M42" s="27">
        <f>J41+C42*'2 Steam Properties'!$B$13-J42</f>
        <v>0</v>
      </c>
    </row>
    <row r="43" spans="1:13" x14ac:dyDescent="0.2">
      <c r="A43" s="28">
        <f t="shared" si="4"/>
        <v>24</v>
      </c>
      <c r="B43" s="25">
        <f>A43*'3 Node Calculations'!$G$7</f>
        <v>0.48</v>
      </c>
      <c r="C43" s="21">
        <f>IF(AND(B43&gt;='1 Inputs'!$B$25,B42&lt;'1 Inputs'!$B$25),'3 Node Calculations'!$G$11,0)</f>
        <v>0</v>
      </c>
      <c r="D43" s="21">
        <f t="shared" si="5"/>
        <v>0.44166666666666665</v>
      </c>
      <c r="E43" s="21">
        <f t="shared" si="6"/>
        <v>3.9269908169872418</v>
      </c>
      <c r="F43" s="21">
        <f t="shared" si="0"/>
        <v>4.3686574836539087</v>
      </c>
      <c r="G43" s="21">
        <f t="shared" si="7"/>
        <v>0.47123889803846902</v>
      </c>
      <c r="H43" s="21">
        <f t="shared" si="1"/>
        <v>3.8974185856154397</v>
      </c>
      <c r="I43" s="22">
        <f t="shared" si="2"/>
        <v>0.10786812649004672</v>
      </c>
      <c r="J43" s="26">
        <f>J42+C43*'2 Steam Properties'!$B$13</f>
        <v>1315.9078013594515</v>
      </c>
      <c r="K43" s="25">
        <f t="shared" si="3"/>
        <v>301.21560371421867</v>
      </c>
      <c r="L43" s="25">
        <f>K43/'1 Inputs'!$B$10</f>
        <v>71.957860419068012</v>
      </c>
      <c r="M43" s="27">
        <f>J42+C43*'2 Steam Properties'!$B$13-J43</f>
        <v>0</v>
      </c>
    </row>
    <row r="44" spans="1:13" x14ac:dyDescent="0.2">
      <c r="A44" s="28">
        <f t="shared" si="4"/>
        <v>25</v>
      </c>
      <c r="B44" s="25">
        <f>A44*'3 Node Calculations'!$G$7</f>
        <v>0.5</v>
      </c>
      <c r="C44" s="21">
        <f>IF(AND(B44&gt;='1 Inputs'!$B$25,B43&lt;'1 Inputs'!$B$25),'3 Node Calculations'!$G$11,0)</f>
        <v>0</v>
      </c>
      <c r="D44" s="21">
        <f t="shared" si="5"/>
        <v>0.44166666666666665</v>
      </c>
      <c r="E44" s="21">
        <f t="shared" si="6"/>
        <v>3.9269908169872418</v>
      </c>
      <c r="F44" s="21">
        <f t="shared" si="0"/>
        <v>4.3686574836539087</v>
      </c>
      <c r="G44" s="21">
        <f t="shared" si="7"/>
        <v>0.47123889803846902</v>
      </c>
      <c r="H44" s="21">
        <f t="shared" si="1"/>
        <v>3.8974185856154397</v>
      </c>
      <c r="I44" s="22">
        <f t="shared" si="2"/>
        <v>0.10786812649004672</v>
      </c>
      <c r="J44" s="26">
        <f>J43+C44*'2 Steam Properties'!$B$13</f>
        <v>1315.9078013594515</v>
      </c>
      <c r="K44" s="25">
        <f t="shared" si="3"/>
        <v>301.21560371421867</v>
      </c>
      <c r="L44" s="25">
        <f>K44/'1 Inputs'!$B$10</f>
        <v>71.957860419068012</v>
      </c>
      <c r="M44" s="27">
        <f>J43+C44*'2 Steam Properties'!$B$13-J44</f>
        <v>0</v>
      </c>
    </row>
    <row r="45" spans="1:13" x14ac:dyDescent="0.2">
      <c r="A45" s="28">
        <f t="shared" si="4"/>
        <v>26</v>
      </c>
      <c r="B45" s="25">
        <f>A45*'3 Node Calculations'!$G$7</f>
        <v>0.52</v>
      </c>
      <c r="C45" s="21">
        <f>IF(AND(B45&gt;='1 Inputs'!$B$25,B44&lt;'1 Inputs'!$B$25),'3 Node Calculations'!$G$11,0)</f>
        <v>0</v>
      </c>
      <c r="D45" s="21">
        <f t="shared" si="5"/>
        <v>0.44166666666666665</v>
      </c>
      <c r="E45" s="21">
        <f t="shared" si="6"/>
        <v>3.9269908169872418</v>
      </c>
      <c r="F45" s="21">
        <f t="shared" si="0"/>
        <v>4.3686574836539087</v>
      </c>
      <c r="G45" s="21">
        <f t="shared" si="7"/>
        <v>0.47123889803846902</v>
      </c>
      <c r="H45" s="21">
        <f t="shared" si="1"/>
        <v>3.8974185856154397</v>
      </c>
      <c r="I45" s="22">
        <f t="shared" si="2"/>
        <v>0.10786812649004672</v>
      </c>
      <c r="J45" s="26">
        <f>J44+C45*'2 Steam Properties'!$B$13</f>
        <v>1315.9078013594515</v>
      </c>
      <c r="K45" s="25">
        <f t="shared" si="3"/>
        <v>301.21560371421867</v>
      </c>
      <c r="L45" s="25">
        <f>K45/'1 Inputs'!$B$10</f>
        <v>71.957860419068012</v>
      </c>
      <c r="M45" s="27">
        <f>J44+C45*'2 Steam Properties'!$B$13-J45</f>
        <v>0</v>
      </c>
    </row>
    <row r="46" spans="1:13" x14ac:dyDescent="0.2">
      <c r="A46" s="28">
        <f t="shared" si="4"/>
        <v>27</v>
      </c>
      <c r="B46" s="25">
        <f>A46*'3 Node Calculations'!$G$7</f>
        <v>0.54</v>
      </c>
      <c r="C46" s="21">
        <f>IF(AND(B46&gt;='1 Inputs'!$B$25,B45&lt;'1 Inputs'!$B$25),'3 Node Calculations'!$G$11,0)</f>
        <v>0</v>
      </c>
      <c r="D46" s="21">
        <f t="shared" si="5"/>
        <v>0.44166666666666665</v>
      </c>
      <c r="E46" s="21">
        <f t="shared" si="6"/>
        <v>3.9269908169872418</v>
      </c>
      <c r="F46" s="21">
        <f t="shared" si="0"/>
        <v>4.3686574836539087</v>
      </c>
      <c r="G46" s="21">
        <f t="shared" si="7"/>
        <v>0.47123889803846902</v>
      </c>
      <c r="H46" s="21">
        <f t="shared" si="1"/>
        <v>3.8974185856154397</v>
      </c>
      <c r="I46" s="22">
        <f t="shared" si="2"/>
        <v>0.10786812649004672</v>
      </c>
      <c r="J46" s="26">
        <f>J45+C46*'2 Steam Properties'!$B$13</f>
        <v>1315.9078013594515</v>
      </c>
      <c r="K46" s="25">
        <f t="shared" si="3"/>
        <v>301.21560371421867</v>
      </c>
      <c r="L46" s="25">
        <f>K46/'1 Inputs'!$B$10</f>
        <v>71.957860419068012</v>
      </c>
      <c r="M46" s="27">
        <f>J45+C46*'2 Steam Properties'!$B$13-J46</f>
        <v>0</v>
      </c>
    </row>
    <row r="47" spans="1:13" x14ac:dyDescent="0.2">
      <c r="A47" s="28">
        <f t="shared" si="4"/>
        <v>28</v>
      </c>
      <c r="B47" s="25">
        <f>A47*'3 Node Calculations'!$G$7</f>
        <v>0.56000000000000005</v>
      </c>
      <c r="C47" s="21">
        <f>IF(AND(B47&gt;='1 Inputs'!$B$25,B46&lt;'1 Inputs'!$B$25),'3 Node Calculations'!$G$11,0)</f>
        <v>0</v>
      </c>
      <c r="D47" s="21">
        <f t="shared" si="5"/>
        <v>0.44166666666666665</v>
      </c>
      <c r="E47" s="21">
        <f t="shared" si="6"/>
        <v>3.9269908169872418</v>
      </c>
      <c r="F47" s="21">
        <f t="shared" si="0"/>
        <v>4.3686574836539087</v>
      </c>
      <c r="G47" s="21">
        <f t="shared" si="7"/>
        <v>0.47123889803846902</v>
      </c>
      <c r="H47" s="21">
        <f t="shared" si="1"/>
        <v>3.8974185856154397</v>
      </c>
      <c r="I47" s="22">
        <f t="shared" si="2"/>
        <v>0.10786812649004672</v>
      </c>
      <c r="J47" s="26">
        <f>J46+C47*'2 Steam Properties'!$B$13</f>
        <v>1315.9078013594515</v>
      </c>
      <c r="K47" s="25">
        <f t="shared" si="3"/>
        <v>301.21560371421867</v>
      </c>
      <c r="L47" s="25">
        <f>K47/'1 Inputs'!$B$10</f>
        <v>71.957860419068012</v>
      </c>
      <c r="M47" s="27">
        <f>J46+C47*'2 Steam Properties'!$B$13-J47</f>
        <v>0</v>
      </c>
    </row>
    <row r="48" spans="1:13" x14ac:dyDescent="0.2">
      <c r="A48" s="28">
        <f t="shared" si="4"/>
        <v>29</v>
      </c>
      <c r="B48" s="25">
        <f>A48*'3 Node Calculations'!$G$7</f>
        <v>0.57999999999999996</v>
      </c>
      <c r="C48" s="21">
        <f>IF(AND(B48&gt;='1 Inputs'!$B$25,B47&lt;'1 Inputs'!$B$25),'3 Node Calculations'!$G$11,0)</f>
        <v>0</v>
      </c>
      <c r="D48" s="21">
        <f t="shared" si="5"/>
        <v>0.44166666666666665</v>
      </c>
      <c r="E48" s="21">
        <f t="shared" si="6"/>
        <v>3.9269908169872418</v>
      </c>
      <c r="F48" s="21">
        <f t="shared" si="0"/>
        <v>4.3686574836539087</v>
      </c>
      <c r="G48" s="21">
        <f t="shared" si="7"/>
        <v>0.47123889803846902</v>
      </c>
      <c r="H48" s="21">
        <f t="shared" si="1"/>
        <v>3.8974185856154397</v>
      </c>
      <c r="I48" s="22">
        <f t="shared" si="2"/>
        <v>0.10786812649004672</v>
      </c>
      <c r="J48" s="26">
        <f>J47+C48*'2 Steam Properties'!$B$13</f>
        <v>1315.9078013594515</v>
      </c>
      <c r="K48" s="25">
        <f t="shared" si="3"/>
        <v>301.21560371421867</v>
      </c>
      <c r="L48" s="25">
        <f>K48/'1 Inputs'!$B$10</f>
        <v>71.957860419068012</v>
      </c>
      <c r="M48" s="27">
        <f>J47+C48*'2 Steam Properties'!$B$13-J48</f>
        <v>0</v>
      </c>
    </row>
    <row r="49" spans="1:13" x14ac:dyDescent="0.2">
      <c r="A49" s="28">
        <f t="shared" si="4"/>
        <v>30</v>
      </c>
      <c r="B49" s="25">
        <f>A49*'3 Node Calculations'!$G$7</f>
        <v>0.6</v>
      </c>
      <c r="C49" s="21">
        <f>IF(AND(B49&gt;='1 Inputs'!$B$25,B48&lt;'1 Inputs'!$B$25),'3 Node Calculations'!$G$11,0)</f>
        <v>0</v>
      </c>
      <c r="D49" s="21">
        <f t="shared" si="5"/>
        <v>0.44166666666666665</v>
      </c>
      <c r="E49" s="21">
        <f t="shared" si="6"/>
        <v>3.9269908169872418</v>
      </c>
      <c r="F49" s="21">
        <f t="shared" si="0"/>
        <v>4.3686574836539087</v>
      </c>
      <c r="G49" s="21">
        <f t="shared" si="7"/>
        <v>0.47123889803846902</v>
      </c>
      <c r="H49" s="21">
        <f t="shared" si="1"/>
        <v>3.8974185856154397</v>
      </c>
      <c r="I49" s="22">
        <f t="shared" si="2"/>
        <v>0.10786812649004672</v>
      </c>
      <c r="J49" s="26">
        <f>J48+C49*'2 Steam Properties'!$B$13</f>
        <v>1315.9078013594515</v>
      </c>
      <c r="K49" s="25">
        <f t="shared" si="3"/>
        <v>301.21560371421867</v>
      </c>
      <c r="L49" s="25">
        <f>K49/'1 Inputs'!$B$10</f>
        <v>71.957860419068012</v>
      </c>
      <c r="M49" s="27">
        <f>J48+C49*'2 Steam Properties'!$B$13-J49</f>
        <v>0</v>
      </c>
    </row>
    <row r="50" spans="1:13" x14ac:dyDescent="0.2">
      <c r="A50" s="28">
        <f t="shared" si="4"/>
        <v>31</v>
      </c>
      <c r="B50" s="25">
        <f>A50*'3 Node Calculations'!$G$7</f>
        <v>0.62</v>
      </c>
      <c r="C50" s="21">
        <f>IF(AND(B50&gt;='1 Inputs'!$B$25,B49&lt;'1 Inputs'!$B$25),'3 Node Calculations'!$G$11,0)</f>
        <v>0</v>
      </c>
      <c r="D50" s="21">
        <f t="shared" si="5"/>
        <v>0.44166666666666665</v>
      </c>
      <c r="E50" s="21">
        <f t="shared" si="6"/>
        <v>3.9269908169872418</v>
      </c>
      <c r="F50" s="21">
        <f t="shared" si="0"/>
        <v>4.3686574836539087</v>
      </c>
      <c r="G50" s="21">
        <f t="shared" si="7"/>
        <v>0.47123889803846902</v>
      </c>
      <c r="H50" s="21">
        <f t="shared" si="1"/>
        <v>3.8974185856154397</v>
      </c>
      <c r="I50" s="22">
        <f t="shared" si="2"/>
        <v>0.10786812649004672</v>
      </c>
      <c r="J50" s="26">
        <f>J49+C50*'2 Steam Properties'!$B$13</f>
        <v>1315.9078013594515</v>
      </c>
      <c r="K50" s="25">
        <f t="shared" si="3"/>
        <v>301.21560371421867</v>
      </c>
      <c r="L50" s="25">
        <f>K50/'1 Inputs'!$B$10</f>
        <v>71.957860419068012</v>
      </c>
      <c r="M50" s="27">
        <f>J49+C50*'2 Steam Properties'!$B$13-J50</f>
        <v>0</v>
      </c>
    </row>
    <row r="51" spans="1:13" x14ac:dyDescent="0.2">
      <c r="A51" s="28">
        <f t="shared" si="4"/>
        <v>32</v>
      </c>
      <c r="B51" s="25">
        <f>A51*'3 Node Calculations'!$G$7</f>
        <v>0.64</v>
      </c>
      <c r="C51" s="21">
        <f>IF(AND(B51&gt;='1 Inputs'!$B$25,B50&lt;'1 Inputs'!$B$25),'3 Node Calculations'!$G$11,0)</f>
        <v>0</v>
      </c>
      <c r="D51" s="21">
        <f t="shared" si="5"/>
        <v>0.44166666666666665</v>
      </c>
      <c r="E51" s="21">
        <f t="shared" si="6"/>
        <v>3.9269908169872418</v>
      </c>
      <c r="F51" s="21">
        <f t="shared" ref="F51:F82" si="8">E51+D51</f>
        <v>4.3686574836539087</v>
      </c>
      <c r="G51" s="21">
        <f t="shared" si="7"/>
        <v>0.47123889803846902</v>
      </c>
      <c r="H51" s="21">
        <f t="shared" ref="H51:H82" si="9">F51-G51</f>
        <v>3.8974185856154397</v>
      </c>
      <c r="I51" s="22">
        <f t="shared" ref="I51:I82" si="10">G51/F51</f>
        <v>0.10786812649004672</v>
      </c>
      <c r="J51" s="26">
        <f>J50+C51*'2 Steam Properties'!$B$13</f>
        <v>1315.9078013594515</v>
      </c>
      <c r="K51" s="25">
        <f t="shared" ref="K51:K82" si="11">J51/F51</f>
        <v>301.21560371421867</v>
      </c>
      <c r="L51" s="25">
        <f>K51/'1 Inputs'!$B$10</f>
        <v>71.957860419068012</v>
      </c>
      <c r="M51" s="27">
        <f>J50+C51*'2 Steam Properties'!$B$13-J51</f>
        <v>0</v>
      </c>
    </row>
    <row r="52" spans="1:13" x14ac:dyDescent="0.2">
      <c r="A52" s="28">
        <f t="shared" ref="A52:A83" si="12">A51+1</f>
        <v>33</v>
      </c>
      <c r="B52" s="25">
        <f>A52*'3 Node Calculations'!$G$7</f>
        <v>0.66</v>
      </c>
      <c r="C52" s="21">
        <f>IF(AND(B52&gt;='1 Inputs'!$B$25,B51&lt;'1 Inputs'!$B$25),'3 Node Calculations'!$G$11,0)</f>
        <v>0</v>
      </c>
      <c r="D52" s="21">
        <f t="shared" ref="D52:D83" si="13">D51+C52</f>
        <v>0.44166666666666665</v>
      </c>
      <c r="E52" s="21">
        <f t="shared" ref="E52:E83" si="14">E51</f>
        <v>3.9269908169872418</v>
      </c>
      <c r="F52" s="21">
        <f t="shared" si="8"/>
        <v>4.3686574836539087</v>
      </c>
      <c r="G52" s="21">
        <f t="shared" ref="G52:G83" si="15">G51</f>
        <v>0.47123889803846902</v>
      </c>
      <c r="H52" s="21">
        <f t="shared" si="9"/>
        <v>3.8974185856154397</v>
      </c>
      <c r="I52" s="22">
        <f t="shared" si="10"/>
        <v>0.10786812649004672</v>
      </c>
      <c r="J52" s="26">
        <f>J51+C52*'2 Steam Properties'!$B$13</f>
        <v>1315.9078013594515</v>
      </c>
      <c r="K52" s="25">
        <f t="shared" si="11"/>
        <v>301.21560371421867</v>
      </c>
      <c r="L52" s="25">
        <f>K52/'1 Inputs'!$B$10</f>
        <v>71.957860419068012</v>
      </c>
      <c r="M52" s="27">
        <f>J51+C52*'2 Steam Properties'!$B$13-J52</f>
        <v>0</v>
      </c>
    </row>
    <row r="53" spans="1:13" x14ac:dyDescent="0.2">
      <c r="A53" s="28">
        <f t="shared" si="12"/>
        <v>34</v>
      </c>
      <c r="B53" s="25">
        <f>A53*'3 Node Calculations'!$G$7</f>
        <v>0.68</v>
      </c>
      <c r="C53" s="21">
        <f>IF(AND(B53&gt;='1 Inputs'!$B$25,B52&lt;'1 Inputs'!$B$25),'3 Node Calculations'!$G$11,0)</f>
        <v>0</v>
      </c>
      <c r="D53" s="21">
        <f t="shared" si="13"/>
        <v>0.44166666666666665</v>
      </c>
      <c r="E53" s="21">
        <f t="shared" si="14"/>
        <v>3.9269908169872418</v>
      </c>
      <c r="F53" s="21">
        <f t="shared" si="8"/>
        <v>4.3686574836539087</v>
      </c>
      <c r="G53" s="21">
        <f t="shared" si="15"/>
        <v>0.47123889803846902</v>
      </c>
      <c r="H53" s="21">
        <f t="shared" si="9"/>
        <v>3.8974185856154397</v>
      </c>
      <c r="I53" s="22">
        <f t="shared" si="10"/>
        <v>0.10786812649004672</v>
      </c>
      <c r="J53" s="26">
        <f>J52+C53*'2 Steam Properties'!$B$13</f>
        <v>1315.9078013594515</v>
      </c>
      <c r="K53" s="25">
        <f t="shared" si="11"/>
        <v>301.21560371421867</v>
      </c>
      <c r="L53" s="25">
        <f>K53/'1 Inputs'!$B$10</f>
        <v>71.957860419068012</v>
      </c>
      <c r="M53" s="27">
        <f>J52+C53*'2 Steam Properties'!$B$13-J53</f>
        <v>0</v>
      </c>
    </row>
    <row r="54" spans="1:13" x14ac:dyDescent="0.2">
      <c r="A54" s="28">
        <f t="shared" si="12"/>
        <v>35</v>
      </c>
      <c r="B54" s="25">
        <f>A54*'3 Node Calculations'!$G$7</f>
        <v>0.70000000000000007</v>
      </c>
      <c r="C54" s="21">
        <f>IF(AND(B54&gt;='1 Inputs'!$B$25,B53&lt;'1 Inputs'!$B$25),'3 Node Calculations'!$G$11,0)</f>
        <v>0</v>
      </c>
      <c r="D54" s="21">
        <f t="shared" si="13"/>
        <v>0.44166666666666665</v>
      </c>
      <c r="E54" s="21">
        <f t="shared" si="14"/>
        <v>3.9269908169872418</v>
      </c>
      <c r="F54" s="21">
        <f t="shared" si="8"/>
        <v>4.3686574836539087</v>
      </c>
      <c r="G54" s="21">
        <f t="shared" si="15"/>
        <v>0.47123889803846902</v>
      </c>
      <c r="H54" s="21">
        <f t="shared" si="9"/>
        <v>3.8974185856154397</v>
      </c>
      <c r="I54" s="22">
        <f t="shared" si="10"/>
        <v>0.10786812649004672</v>
      </c>
      <c r="J54" s="26">
        <f>J53+C54*'2 Steam Properties'!$B$13</f>
        <v>1315.9078013594515</v>
      </c>
      <c r="K54" s="25">
        <f t="shared" si="11"/>
        <v>301.21560371421867</v>
      </c>
      <c r="L54" s="25">
        <f>K54/'1 Inputs'!$B$10</f>
        <v>71.957860419068012</v>
      </c>
      <c r="M54" s="27">
        <f>J53+C54*'2 Steam Properties'!$B$13-J54</f>
        <v>0</v>
      </c>
    </row>
    <row r="55" spans="1:13" x14ac:dyDescent="0.2">
      <c r="A55" s="28">
        <f t="shared" si="12"/>
        <v>36</v>
      </c>
      <c r="B55" s="25">
        <f>A55*'3 Node Calculations'!$G$7</f>
        <v>0.72</v>
      </c>
      <c r="C55" s="21">
        <f>IF(AND(B55&gt;='1 Inputs'!$B$25,B54&lt;'1 Inputs'!$B$25),'3 Node Calculations'!$G$11,0)</f>
        <v>0</v>
      </c>
      <c r="D55" s="21">
        <f t="shared" si="13"/>
        <v>0.44166666666666665</v>
      </c>
      <c r="E55" s="21">
        <f t="shared" si="14"/>
        <v>3.9269908169872418</v>
      </c>
      <c r="F55" s="21">
        <f t="shared" si="8"/>
        <v>4.3686574836539087</v>
      </c>
      <c r="G55" s="21">
        <f t="shared" si="15"/>
        <v>0.47123889803846902</v>
      </c>
      <c r="H55" s="21">
        <f t="shared" si="9"/>
        <v>3.8974185856154397</v>
      </c>
      <c r="I55" s="22">
        <f t="shared" si="10"/>
        <v>0.10786812649004672</v>
      </c>
      <c r="J55" s="26">
        <f>J54+C55*'2 Steam Properties'!$B$13</f>
        <v>1315.9078013594515</v>
      </c>
      <c r="K55" s="25">
        <f t="shared" si="11"/>
        <v>301.21560371421867</v>
      </c>
      <c r="L55" s="25">
        <f>K55/'1 Inputs'!$B$10</f>
        <v>71.957860419068012</v>
      </c>
      <c r="M55" s="27">
        <f>J54+C55*'2 Steam Properties'!$B$13-J55</f>
        <v>0</v>
      </c>
    </row>
    <row r="56" spans="1:13" x14ac:dyDescent="0.2">
      <c r="A56" s="28">
        <f t="shared" si="12"/>
        <v>37</v>
      </c>
      <c r="B56" s="25">
        <f>A56*'3 Node Calculations'!$G$7</f>
        <v>0.74</v>
      </c>
      <c r="C56" s="21">
        <f>IF(AND(B56&gt;='1 Inputs'!$B$25,B55&lt;'1 Inputs'!$B$25),'3 Node Calculations'!$G$11,0)</f>
        <v>0</v>
      </c>
      <c r="D56" s="21">
        <f t="shared" si="13"/>
        <v>0.44166666666666665</v>
      </c>
      <c r="E56" s="21">
        <f t="shared" si="14"/>
        <v>3.9269908169872418</v>
      </c>
      <c r="F56" s="21">
        <f t="shared" si="8"/>
        <v>4.3686574836539087</v>
      </c>
      <c r="G56" s="21">
        <f t="shared" si="15"/>
        <v>0.47123889803846902</v>
      </c>
      <c r="H56" s="21">
        <f t="shared" si="9"/>
        <v>3.8974185856154397</v>
      </c>
      <c r="I56" s="22">
        <f t="shared" si="10"/>
        <v>0.10786812649004672</v>
      </c>
      <c r="J56" s="26">
        <f>J55+C56*'2 Steam Properties'!$B$13</f>
        <v>1315.9078013594515</v>
      </c>
      <c r="K56" s="25">
        <f t="shared" si="11"/>
        <v>301.21560371421867</v>
      </c>
      <c r="L56" s="25">
        <f>K56/'1 Inputs'!$B$10</f>
        <v>71.957860419068012</v>
      </c>
      <c r="M56" s="27">
        <f>J55+C56*'2 Steam Properties'!$B$13-J56</f>
        <v>0</v>
      </c>
    </row>
    <row r="57" spans="1:13" x14ac:dyDescent="0.2">
      <c r="A57" s="28">
        <f t="shared" si="12"/>
        <v>38</v>
      </c>
      <c r="B57" s="25">
        <f>A57*'3 Node Calculations'!$G$7</f>
        <v>0.76</v>
      </c>
      <c r="C57" s="21">
        <f>IF(AND(B57&gt;='1 Inputs'!$B$25,B56&lt;'1 Inputs'!$B$25),'3 Node Calculations'!$G$11,0)</f>
        <v>0</v>
      </c>
      <c r="D57" s="21">
        <f t="shared" si="13"/>
        <v>0.44166666666666665</v>
      </c>
      <c r="E57" s="21">
        <f t="shared" si="14"/>
        <v>3.9269908169872418</v>
      </c>
      <c r="F57" s="21">
        <f t="shared" si="8"/>
        <v>4.3686574836539087</v>
      </c>
      <c r="G57" s="21">
        <f t="shared" si="15"/>
        <v>0.47123889803846902</v>
      </c>
      <c r="H57" s="21">
        <f t="shared" si="9"/>
        <v>3.8974185856154397</v>
      </c>
      <c r="I57" s="22">
        <f t="shared" si="10"/>
        <v>0.10786812649004672</v>
      </c>
      <c r="J57" s="26">
        <f>J56+C57*'2 Steam Properties'!$B$13</f>
        <v>1315.9078013594515</v>
      </c>
      <c r="K57" s="25">
        <f t="shared" si="11"/>
        <v>301.21560371421867</v>
      </c>
      <c r="L57" s="25">
        <f>K57/'1 Inputs'!$B$10</f>
        <v>71.957860419068012</v>
      </c>
      <c r="M57" s="27">
        <f>J56+C57*'2 Steam Properties'!$B$13-J57</f>
        <v>0</v>
      </c>
    </row>
    <row r="58" spans="1:13" x14ac:dyDescent="0.2">
      <c r="A58" s="28">
        <f t="shared" si="12"/>
        <v>39</v>
      </c>
      <c r="B58" s="25">
        <f>A58*'3 Node Calculations'!$G$7</f>
        <v>0.78</v>
      </c>
      <c r="C58" s="21">
        <f>IF(AND(B58&gt;='1 Inputs'!$B$25,B57&lt;'1 Inputs'!$B$25),'3 Node Calculations'!$G$11,0)</f>
        <v>0</v>
      </c>
      <c r="D58" s="21">
        <f t="shared" si="13"/>
        <v>0.44166666666666665</v>
      </c>
      <c r="E58" s="21">
        <f t="shared" si="14"/>
        <v>3.9269908169872418</v>
      </c>
      <c r="F58" s="21">
        <f t="shared" si="8"/>
        <v>4.3686574836539087</v>
      </c>
      <c r="G58" s="21">
        <f t="shared" si="15"/>
        <v>0.47123889803846902</v>
      </c>
      <c r="H58" s="21">
        <f t="shared" si="9"/>
        <v>3.8974185856154397</v>
      </c>
      <c r="I58" s="22">
        <f t="shared" si="10"/>
        <v>0.10786812649004672</v>
      </c>
      <c r="J58" s="26">
        <f>J57+C58*'2 Steam Properties'!$B$13</f>
        <v>1315.9078013594515</v>
      </c>
      <c r="K58" s="25">
        <f t="shared" si="11"/>
        <v>301.21560371421867</v>
      </c>
      <c r="L58" s="25">
        <f>K58/'1 Inputs'!$B$10</f>
        <v>71.957860419068012</v>
      </c>
      <c r="M58" s="27">
        <f>J57+C58*'2 Steam Properties'!$B$13-J58</f>
        <v>0</v>
      </c>
    </row>
    <row r="59" spans="1:13" x14ac:dyDescent="0.2">
      <c r="A59" s="28">
        <f t="shared" si="12"/>
        <v>40</v>
      </c>
      <c r="B59" s="25">
        <f>A59*'3 Node Calculations'!$G$7</f>
        <v>0.8</v>
      </c>
      <c r="C59" s="21">
        <f>IF(AND(B59&gt;='1 Inputs'!$B$25,B58&lt;'1 Inputs'!$B$25),'3 Node Calculations'!$G$11,0)</f>
        <v>0</v>
      </c>
      <c r="D59" s="21">
        <f t="shared" si="13"/>
        <v>0.44166666666666665</v>
      </c>
      <c r="E59" s="21">
        <f t="shared" si="14"/>
        <v>3.9269908169872418</v>
      </c>
      <c r="F59" s="21">
        <f t="shared" si="8"/>
        <v>4.3686574836539087</v>
      </c>
      <c r="G59" s="21">
        <f t="shared" si="15"/>
        <v>0.47123889803846902</v>
      </c>
      <c r="H59" s="21">
        <f t="shared" si="9"/>
        <v>3.8974185856154397</v>
      </c>
      <c r="I59" s="22">
        <f t="shared" si="10"/>
        <v>0.10786812649004672</v>
      </c>
      <c r="J59" s="26">
        <f>J58+C59*'2 Steam Properties'!$B$13</f>
        <v>1315.9078013594515</v>
      </c>
      <c r="K59" s="25">
        <f t="shared" si="11"/>
        <v>301.21560371421867</v>
      </c>
      <c r="L59" s="25">
        <f>K59/'1 Inputs'!$B$10</f>
        <v>71.957860419068012</v>
      </c>
      <c r="M59" s="27">
        <f>J58+C59*'2 Steam Properties'!$B$13-J59</f>
        <v>0</v>
      </c>
    </row>
    <row r="60" spans="1:13" x14ac:dyDescent="0.2">
      <c r="A60" s="28">
        <f t="shared" si="12"/>
        <v>41</v>
      </c>
      <c r="B60" s="25">
        <f>A60*'3 Node Calculations'!$G$7</f>
        <v>0.82000000000000006</v>
      </c>
      <c r="C60" s="21">
        <f>IF(AND(B60&gt;='1 Inputs'!$B$25,B59&lt;'1 Inputs'!$B$25),'3 Node Calculations'!$G$11,0)</f>
        <v>0</v>
      </c>
      <c r="D60" s="21">
        <f t="shared" si="13"/>
        <v>0.44166666666666665</v>
      </c>
      <c r="E60" s="21">
        <f t="shared" si="14"/>
        <v>3.9269908169872418</v>
      </c>
      <c r="F60" s="21">
        <f t="shared" si="8"/>
        <v>4.3686574836539087</v>
      </c>
      <c r="G60" s="21">
        <f t="shared" si="15"/>
        <v>0.47123889803846902</v>
      </c>
      <c r="H60" s="21">
        <f t="shared" si="9"/>
        <v>3.8974185856154397</v>
      </c>
      <c r="I60" s="22">
        <f t="shared" si="10"/>
        <v>0.10786812649004672</v>
      </c>
      <c r="J60" s="26">
        <f>J59+C60*'2 Steam Properties'!$B$13</f>
        <v>1315.9078013594515</v>
      </c>
      <c r="K60" s="25">
        <f t="shared" si="11"/>
        <v>301.21560371421867</v>
      </c>
      <c r="L60" s="25">
        <f>K60/'1 Inputs'!$B$10</f>
        <v>71.957860419068012</v>
      </c>
      <c r="M60" s="27">
        <f>J59+C60*'2 Steam Properties'!$B$13-J60</f>
        <v>0</v>
      </c>
    </row>
    <row r="61" spans="1:13" x14ac:dyDescent="0.2">
      <c r="A61" s="28">
        <f t="shared" si="12"/>
        <v>42</v>
      </c>
      <c r="B61" s="25">
        <f>A61*'3 Node Calculations'!$G$7</f>
        <v>0.84</v>
      </c>
      <c r="C61" s="21">
        <f>IF(AND(B61&gt;='1 Inputs'!$B$25,B60&lt;'1 Inputs'!$B$25),'3 Node Calculations'!$G$11,0)</f>
        <v>0</v>
      </c>
      <c r="D61" s="21">
        <f t="shared" si="13"/>
        <v>0.44166666666666665</v>
      </c>
      <c r="E61" s="21">
        <f t="shared" si="14"/>
        <v>3.9269908169872418</v>
      </c>
      <c r="F61" s="21">
        <f t="shared" si="8"/>
        <v>4.3686574836539087</v>
      </c>
      <c r="G61" s="21">
        <f t="shared" si="15"/>
        <v>0.47123889803846902</v>
      </c>
      <c r="H61" s="21">
        <f t="shared" si="9"/>
        <v>3.8974185856154397</v>
      </c>
      <c r="I61" s="22">
        <f t="shared" si="10"/>
        <v>0.10786812649004672</v>
      </c>
      <c r="J61" s="26">
        <f>J60+C61*'2 Steam Properties'!$B$13</f>
        <v>1315.9078013594515</v>
      </c>
      <c r="K61" s="25">
        <f t="shared" si="11"/>
        <v>301.21560371421867</v>
      </c>
      <c r="L61" s="25">
        <f>K61/'1 Inputs'!$B$10</f>
        <v>71.957860419068012</v>
      </c>
      <c r="M61" s="27">
        <f>J60+C61*'2 Steam Properties'!$B$13-J61</f>
        <v>0</v>
      </c>
    </row>
    <row r="62" spans="1:13" x14ac:dyDescent="0.2">
      <c r="A62" s="28">
        <f t="shared" si="12"/>
        <v>43</v>
      </c>
      <c r="B62" s="25">
        <f>A62*'3 Node Calculations'!$G$7</f>
        <v>0.86</v>
      </c>
      <c r="C62" s="21">
        <f>IF(AND(B62&gt;='1 Inputs'!$B$25,B61&lt;'1 Inputs'!$B$25),'3 Node Calculations'!$G$11,0)</f>
        <v>0</v>
      </c>
      <c r="D62" s="21">
        <f t="shared" si="13"/>
        <v>0.44166666666666665</v>
      </c>
      <c r="E62" s="21">
        <f t="shared" si="14"/>
        <v>3.9269908169872418</v>
      </c>
      <c r="F62" s="21">
        <f t="shared" si="8"/>
        <v>4.3686574836539087</v>
      </c>
      <c r="G62" s="21">
        <f t="shared" si="15"/>
        <v>0.47123889803846902</v>
      </c>
      <c r="H62" s="21">
        <f t="shared" si="9"/>
        <v>3.8974185856154397</v>
      </c>
      <c r="I62" s="22">
        <f t="shared" si="10"/>
        <v>0.10786812649004672</v>
      </c>
      <c r="J62" s="26">
        <f>J61+C62*'2 Steam Properties'!$B$13</f>
        <v>1315.9078013594515</v>
      </c>
      <c r="K62" s="25">
        <f t="shared" si="11"/>
        <v>301.21560371421867</v>
      </c>
      <c r="L62" s="25">
        <f>K62/'1 Inputs'!$B$10</f>
        <v>71.957860419068012</v>
      </c>
      <c r="M62" s="27">
        <f>J61+C62*'2 Steam Properties'!$B$13-J62</f>
        <v>0</v>
      </c>
    </row>
    <row r="63" spans="1:13" x14ac:dyDescent="0.2">
      <c r="A63" s="28">
        <f t="shared" si="12"/>
        <v>44</v>
      </c>
      <c r="B63" s="25">
        <f>A63*'3 Node Calculations'!$G$7</f>
        <v>0.88</v>
      </c>
      <c r="C63" s="21">
        <f>IF(AND(B63&gt;='1 Inputs'!$B$25,B62&lt;'1 Inputs'!$B$25),'3 Node Calculations'!$G$11,0)</f>
        <v>0</v>
      </c>
      <c r="D63" s="21">
        <f t="shared" si="13"/>
        <v>0.44166666666666665</v>
      </c>
      <c r="E63" s="21">
        <f t="shared" si="14"/>
        <v>3.9269908169872418</v>
      </c>
      <c r="F63" s="21">
        <f t="shared" si="8"/>
        <v>4.3686574836539087</v>
      </c>
      <c r="G63" s="21">
        <f t="shared" si="15"/>
        <v>0.47123889803846902</v>
      </c>
      <c r="H63" s="21">
        <f t="shared" si="9"/>
        <v>3.8974185856154397</v>
      </c>
      <c r="I63" s="22">
        <f t="shared" si="10"/>
        <v>0.10786812649004672</v>
      </c>
      <c r="J63" s="26">
        <f>J62+C63*'2 Steam Properties'!$B$13</f>
        <v>1315.9078013594515</v>
      </c>
      <c r="K63" s="25">
        <f t="shared" si="11"/>
        <v>301.21560371421867</v>
      </c>
      <c r="L63" s="25">
        <f>K63/'1 Inputs'!$B$10</f>
        <v>71.957860419068012</v>
      </c>
      <c r="M63" s="27">
        <f>J62+C63*'2 Steam Properties'!$B$13-J63</f>
        <v>0</v>
      </c>
    </row>
    <row r="64" spans="1:13" x14ac:dyDescent="0.2">
      <c r="A64" s="28">
        <f t="shared" si="12"/>
        <v>45</v>
      </c>
      <c r="B64" s="25">
        <f>A64*'3 Node Calculations'!$G$7</f>
        <v>0.9</v>
      </c>
      <c r="C64" s="21">
        <f>IF(AND(B64&gt;='1 Inputs'!$B$25,B63&lt;'1 Inputs'!$B$25),'3 Node Calculations'!$G$11,0)</f>
        <v>0</v>
      </c>
      <c r="D64" s="21">
        <f t="shared" si="13"/>
        <v>0.44166666666666665</v>
      </c>
      <c r="E64" s="21">
        <f t="shared" si="14"/>
        <v>3.9269908169872418</v>
      </c>
      <c r="F64" s="21">
        <f t="shared" si="8"/>
        <v>4.3686574836539087</v>
      </c>
      <c r="G64" s="21">
        <f t="shared" si="15"/>
        <v>0.47123889803846902</v>
      </c>
      <c r="H64" s="21">
        <f t="shared" si="9"/>
        <v>3.8974185856154397</v>
      </c>
      <c r="I64" s="22">
        <f t="shared" si="10"/>
        <v>0.10786812649004672</v>
      </c>
      <c r="J64" s="26">
        <f>J63+C64*'2 Steam Properties'!$B$13</f>
        <v>1315.9078013594515</v>
      </c>
      <c r="K64" s="25">
        <f t="shared" si="11"/>
        <v>301.21560371421867</v>
      </c>
      <c r="L64" s="25">
        <f>K64/'1 Inputs'!$B$10</f>
        <v>71.957860419068012</v>
      </c>
      <c r="M64" s="27">
        <f>J63+C64*'2 Steam Properties'!$B$13-J64</f>
        <v>0</v>
      </c>
    </row>
    <row r="65" spans="1:13" x14ac:dyDescent="0.2">
      <c r="A65" s="28">
        <f t="shared" si="12"/>
        <v>46</v>
      </c>
      <c r="B65" s="25">
        <f>A65*'3 Node Calculations'!$G$7</f>
        <v>0.92</v>
      </c>
      <c r="C65" s="21">
        <f>IF(AND(B65&gt;='1 Inputs'!$B$25,B64&lt;'1 Inputs'!$B$25),'3 Node Calculations'!$G$11,0)</f>
        <v>0</v>
      </c>
      <c r="D65" s="21">
        <f t="shared" si="13"/>
        <v>0.44166666666666665</v>
      </c>
      <c r="E65" s="21">
        <f t="shared" si="14"/>
        <v>3.9269908169872418</v>
      </c>
      <c r="F65" s="21">
        <f t="shared" si="8"/>
        <v>4.3686574836539087</v>
      </c>
      <c r="G65" s="21">
        <f t="shared" si="15"/>
        <v>0.47123889803846902</v>
      </c>
      <c r="H65" s="21">
        <f t="shared" si="9"/>
        <v>3.8974185856154397</v>
      </c>
      <c r="I65" s="22">
        <f t="shared" si="10"/>
        <v>0.10786812649004672</v>
      </c>
      <c r="J65" s="26">
        <f>J64+C65*'2 Steam Properties'!$B$13</f>
        <v>1315.9078013594515</v>
      </c>
      <c r="K65" s="25">
        <f t="shared" si="11"/>
        <v>301.21560371421867</v>
      </c>
      <c r="L65" s="25">
        <f>K65/'1 Inputs'!$B$10</f>
        <v>71.957860419068012</v>
      </c>
      <c r="M65" s="27">
        <f>J64+C65*'2 Steam Properties'!$B$13-J65</f>
        <v>0</v>
      </c>
    </row>
    <row r="66" spans="1:13" x14ac:dyDescent="0.2">
      <c r="A66" s="28">
        <f t="shared" si="12"/>
        <v>47</v>
      </c>
      <c r="B66" s="25">
        <f>A66*'3 Node Calculations'!$G$7</f>
        <v>0.94000000000000006</v>
      </c>
      <c r="C66" s="21">
        <f>IF(AND(B66&gt;='1 Inputs'!$B$25,B65&lt;'1 Inputs'!$B$25),'3 Node Calculations'!$G$11,0)</f>
        <v>0</v>
      </c>
      <c r="D66" s="21">
        <f t="shared" si="13"/>
        <v>0.44166666666666665</v>
      </c>
      <c r="E66" s="21">
        <f t="shared" si="14"/>
        <v>3.9269908169872418</v>
      </c>
      <c r="F66" s="21">
        <f t="shared" si="8"/>
        <v>4.3686574836539087</v>
      </c>
      <c r="G66" s="21">
        <f t="shared" si="15"/>
        <v>0.47123889803846902</v>
      </c>
      <c r="H66" s="21">
        <f t="shared" si="9"/>
        <v>3.8974185856154397</v>
      </c>
      <c r="I66" s="22">
        <f t="shared" si="10"/>
        <v>0.10786812649004672</v>
      </c>
      <c r="J66" s="26">
        <f>J65+C66*'2 Steam Properties'!$B$13</f>
        <v>1315.9078013594515</v>
      </c>
      <c r="K66" s="25">
        <f t="shared" si="11"/>
        <v>301.21560371421867</v>
      </c>
      <c r="L66" s="25">
        <f>K66/'1 Inputs'!$B$10</f>
        <v>71.957860419068012</v>
      </c>
      <c r="M66" s="27">
        <f>J65+C66*'2 Steam Properties'!$B$13-J66</f>
        <v>0</v>
      </c>
    </row>
    <row r="67" spans="1:13" x14ac:dyDescent="0.2">
      <c r="A67" s="28">
        <f t="shared" si="12"/>
        <v>48</v>
      </c>
      <c r="B67" s="25">
        <f>A67*'3 Node Calculations'!$G$7</f>
        <v>0.96</v>
      </c>
      <c r="C67" s="21">
        <f>IF(AND(B67&gt;='1 Inputs'!$B$25,B66&lt;'1 Inputs'!$B$25),'3 Node Calculations'!$G$11,0)</f>
        <v>0</v>
      </c>
      <c r="D67" s="21">
        <f t="shared" si="13"/>
        <v>0.44166666666666665</v>
      </c>
      <c r="E67" s="21">
        <f t="shared" si="14"/>
        <v>3.9269908169872418</v>
      </c>
      <c r="F67" s="21">
        <f t="shared" si="8"/>
        <v>4.3686574836539087</v>
      </c>
      <c r="G67" s="21">
        <f t="shared" si="15"/>
        <v>0.47123889803846902</v>
      </c>
      <c r="H67" s="21">
        <f t="shared" si="9"/>
        <v>3.8974185856154397</v>
      </c>
      <c r="I67" s="22">
        <f t="shared" si="10"/>
        <v>0.10786812649004672</v>
      </c>
      <c r="J67" s="26">
        <f>J66+C67*'2 Steam Properties'!$B$13</f>
        <v>1315.9078013594515</v>
      </c>
      <c r="K67" s="25">
        <f t="shared" si="11"/>
        <v>301.21560371421867</v>
      </c>
      <c r="L67" s="25">
        <f>K67/'1 Inputs'!$B$10</f>
        <v>71.957860419068012</v>
      </c>
      <c r="M67" s="27">
        <f>J66+C67*'2 Steam Properties'!$B$13-J67</f>
        <v>0</v>
      </c>
    </row>
    <row r="68" spans="1:13" x14ac:dyDescent="0.2">
      <c r="A68" s="28">
        <f t="shared" si="12"/>
        <v>49</v>
      </c>
      <c r="B68" s="25">
        <f>A68*'3 Node Calculations'!$G$7</f>
        <v>0.98</v>
      </c>
      <c r="C68" s="21">
        <f>IF(AND(B68&gt;='1 Inputs'!$B$25,B67&lt;'1 Inputs'!$B$25),'3 Node Calculations'!$G$11,0)</f>
        <v>0</v>
      </c>
      <c r="D68" s="21">
        <f t="shared" si="13"/>
        <v>0.44166666666666665</v>
      </c>
      <c r="E68" s="21">
        <f t="shared" si="14"/>
        <v>3.9269908169872418</v>
      </c>
      <c r="F68" s="21">
        <f t="shared" si="8"/>
        <v>4.3686574836539087</v>
      </c>
      <c r="G68" s="21">
        <f t="shared" si="15"/>
        <v>0.47123889803846902</v>
      </c>
      <c r="H68" s="21">
        <f t="shared" si="9"/>
        <v>3.8974185856154397</v>
      </c>
      <c r="I68" s="22">
        <f t="shared" si="10"/>
        <v>0.10786812649004672</v>
      </c>
      <c r="J68" s="26">
        <f>J67+C68*'2 Steam Properties'!$B$13</f>
        <v>1315.9078013594515</v>
      </c>
      <c r="K68" s="25">
        <f t="shared" si="11"/>
        <v>301.21560371421867</v>
      </c>
      <c r="L68" s="25">
        <f>K68/'1 Inputs'!$B$10</f>
        <v>71.957860419068012</v>
      </c>
      <c r="M68" s="27">
        <f>J67+C68*'2 Steam Properties'!$B$13-J68</f>
        <v>0</v>
      </c>
    </row>
    <row r="69" spans="1:13" x14ac:dyDescent="0.2">
      <c r="A69" s="28">
        <f t="shared" si="12"/>
        <v>50</v>
      </c>
      <c r="B69" s="25">
        <f>A69*'3 Node Calculations'!$G$7</f>
        <v>1</v>
      </c>
      <c r="C69" s="21">
        <f>IF(AND(B69&gt;='1 Inputs'!$B$25,B68&lt;'1 Inputs'!$B$25),'3 Node Calculations'!$G$11,0)</f>
        <v>0</v>
      </c>
      <c r="D69" s="21">
        <f t="shared" si="13"/>
        <v>0.44166666666666665</v>
      </c>
      <c r="E69" s="21">
        <f t="shared" si="14"/>
        <v>3.9269908169872418</v>
      </c>
      <c r="F69" s="21">
        <f t="shared" si="8"/>
        <v>4.3686574836539087</v>
      </c>
      <c r="G69" s="21">
        <f t="shared" si="15"/>
        <v>0.47123889803846902</v>
      </c>
      <c r="H69" s="21">
        <f t="shared" si="9"/>
        <v>3.8974185856154397</v>
      </c>
      <c r="I69" s="22">
        <f t="shared" si="10"/>
        <v>0.10786812649004672</v>
      </c>
      <c r="J69" s="26">
        <f>J68+C69*'2 Steam Properties'!$B$13</f>
        <v>1315.9078013594515</v>
      </c>
      <c r="K69" s="25">
        <f t="shared" si="11"/>
        <v>301.21560371421867</v>
      </c>
      <c r="L69" s="25">
        <f>K69/'1 Inputs'!$B$10</f>
        <v>71.957860419068012</v>
      </c>
      <c r="M69" s="27">
        <f>J68+C69*'2 Steam Properties'!$B$13-J69</f>
        <v>0</v>
      </c>
    </row>
    <row r="70" spans="1:13" x14ac:dyDescent="0.2">
      <c r="A70" s="28">
        <f t="shared" si="12"/>
        <v>51</v>
      </c>
      <c r="B70" s="25">
        <f>A70*'3 Node Calculations'!$G$7</f>
        <v>1.02</v>
      </c>
      <c r="C70" s="21">
        <f>IF(AND(B70&gt;='1 Inputs'!$B$25,B69&lt;'1 Inputs'!$B$25),'3 Node Calculations'!$G$11,0)</f>
        <v>0</v>
      </c>
      <c r="D70" s="21">
        <f t="shared" si="13"/>
        <v>0.44166666666666665</v>
      </c>
      <c r="E70" s="21">
        <f t="shared" si="14"/>
        <v>3.9269908169872418</v>
      </c>
      <c r="F70" s="21">
        <f t="shared" si="8"/>
        <v>4.3686574836539087</v>
      </c>
      <c r="G70" s="21">
        <f t="shared" si="15"/>
        <v>0.47123889803846902</v>
      </c>
      <c r="H70" s="21">
        <f t="shared" si="9"/>
        <v>3.8974185856154397</v>
      </c>
      <c r="I70" s="22">
        <f t="shared" si="10"/>
        <v>0.10786812649004672</v>
      </c>
      <c r="J70" s="26">
        <f>J69+C70*'2 Steam Properties'!$B$13</f>
        <v>1315.9078013594515</v>
      </c>
      <c r="K70" s="25">
        <f t="shared" si="11"/>
        <v>301.21560371421867</v>
      </c>
      <c r="L70" s="25">
        <f>K70/'1 Inputs'!$B$10</f>
        <v>71.957860419068012</v>
      </c>
      <c r="M70" s="27">
        <f>J69+C70*'2 Steam Properties'!$B$13-J70</f>
        <v>0</v>
      </c>
    </row>
    <row r="71" spans="1:13" x14ac:dyDescent="0.2">
      <c r="A71" s="28">
        <f t="shared" si="12"/>
        <v>52</v>
      </c>
      <c r="B71" s="25">
        <f>A71*'3 Node Calculations'!$G$7</f>
        <v>1.04</v>
      </c>
      <c r="C71" s="21">
        <f>IF(AND(B71&gt;='1 Inputs'!$B$25,B70&lt;'1 Inputs'!$B$25),'3 Node Calculations'!$G$11,0)</f>
        <v>0</v>
      </c>
      <c r="D71" s="21">
        <f t="shared" si="13"/>
        <v>0.44166666666666665</v>
      </c>
      <c r="E71" s="21">
        <f t="shared" si="14"/>
        <v>3.9269908169872418</v>
      </c>
      <c r="F71" s="21">
        <f t="shared" si="8"/>
        <v>4.3686574836539087</v>
      </c>
      <c r="G71" s="21">
        <f t="shared" si="15"/>
        <v>0.47123889803846902</v>
      </c>
      <c r="H71" s="21">
        <f t="shared" si="9"/>
        <v>3.8974185856154397</v>
      </c>
      <c r="I71" s="22">
        <f t="shared" si="10"/>
        <v>0.10786812649004672</v>
      </c>
      <c r="J71" s="26">
        <f>J70+C71*'2 Steam Properties'!$B$13</f>
        <v>1315.9078013594515</v>
      </c>
      <c r="K71" s="25">
        <f t="shared" si="11"/>
        <v>301.21560371421867</v>
      </c>
      <c r="L71" s="25">
        <f>K71/'1 Inputs'!$B$10</f>
        <v>71.957860419068012</v>
      </c>
      <c r="M71" s="27">
        <f>J70+C71*'2 Steam Properties'!$B$13-J71</f>
        <v>0</v>
      </c>
    </row>
    <row r="72" spans="1:13" x14ac:dyDescent="0.2">
      <c r="A72" s="28">
        <f t="shared" si="12"/>
        <v>53</v>
      </c>
      <c r="B72" s="25">
        <f>A72*'3 Node Calculations'!$G$7</f>
        <v>1.06</v>
      </c>
      <c r="C72" s="21">
        <f>IF(AND(B72&gt;='1 Inputs'!$B$25,B71&lt;'1 Inputs'!$B$25),'3 Node Calculations'!$G$11,0)</f>
        <v>0</v>
      </c>
      <c r="D72" s="21">
        <f t="shared" si="13"/>
        <v>0.44166666666666665</v>
      </c>
      <c r="E72" s="21">
        <f t="shared" si="14"/>
        <v>3.9269908169872418</v>
      </c>
      <c r="F72" s="21">
        <f t="shared" si="8"/>
        <v>4.3686574836539087</v>
      </c>
      <c r="G72" s="21">
        <f t="shared" si="15"/>
        <v>0.47123889803846902</v>
      </c>
      <c r="H72" s="21">
        <f t="shared" si="9"/>
        <v>3.8974185856154397</v>
      </c>
      <c r="I72" s="22">
        <f t="shared" si="10"/>
        <v>0.10786812649004672</v>
      </c>
      <c r="J72" s="26">
        <f>J71+C72*'2 Steam Properties'!$B$13</f>
        <v>1315.9078013594515</v>
      </c>
      <c r="K72" s="25">
        <f t="shared" si="11"/>
        <v>301.21560371421867</v>
      </c>
      <c r="L72" s="25">
        <f>K72/'1 Inputs'!$B$10</f>
        <v>71.957860419068012</v>
      </c>
      <c r="M72" s="27">
        <f>J71+C72*'2 Steam Properties'!$B$13-J72</f>
        <v>0</v>
      </c>
    </row>
    <row r="73" spans="1:13" x14ac:dyDescent="0.2">
      <c r="A73" s="28">
        <f t="shared" si="12"/>
        <v>54</v>
      </c>
      <c r="B73" s="25">
        <f>A73*'3 Node Calculations'!$G$7</f>
        <v>1.08</v>
      </c>
      <c r="C73" s="21">
        <f>IF(AND(B73&gt;='1 Inputs'!$B$25,B72&lt;'1 Inputs'!$B$25),'3 Node Calculations'!$G$11,0)</f>
        <v>0</v>
      </c>
      <c r="D73" s="21">
        <f t="shared" si="13"/>
        <v>0.44166666666666665</v>
      </c>
      <c r="E73" s="21">
        <f t="shared" si="14"/>
        <v>3.9269908169872418</v>
      </c>
      <c r="F73" s="21">
        <f t="shared" si="8"/>
        <v>4.3686574836539087</v>
      </c>
      <c r="G73" s="21">
        <f t="shared" si="15"/>
        <v>0.47123889803846902</v>
      </c>
      <c r="H73" s="21">
        <f t="shared" si="9"/>
        <v>3.8974185856154397</v>
      </c>
      <c r="I73" s="22">
        <f t="shared" si="10"/>
        <v>0.10786812649004672</v>
      </c>
      <c r="J73" s="26">
        <f>J72+C73*'2 Steam Properties'!$B$13</f>
        <v>1315.9078013594515</v>
      </c>
      <c r="K73" s="25">
        <f t="shared" si="11"/>
        <v>301.21560371421867</v>
      </c>
      <c r="L73" s="25">
        <f>K73/'1 Inputs'!$B$10</f>
        <v>71.957860419068012</v>
      </c>
      <c r="M73" s="27">
        <f>J72+C73*'2 Steam Properties'!$B$13-J73</f>
        <v>0</v>
      </c>
    </row>
    <row r="74" spans="1:13" x14ac:dyDescent="0.2">
      <c r="A74" s="28">
        <f t="shared" si="12"/>
        <v>55</v>
      </c>
      <c r="B74" s="25">
        <f>A74*'3 Node Calculations'!$G$7</f>
        <v>1.1000000000000001</v>
      </c>
      <c r="C74" s="21">
        <f>IF(AND(B74&gt;='1 Inputs'!$B$25,B73&lt;'1 Inputs'!$B$25),'3 Node Calculations'!$G$11,0)</f>
        <v>0</v>
      </c>
      <c r="D74" s="21">
        <f t="shared" si="13"/>
        <v>0.44166666666666665</v>
      </c>
      <c r="E74" s="21">
        <f t="shared" si="14"/>
        <v>3.9269908169872418</v>
      </c>
      <c r="F74" s="21">
        <f t="shared" si="8"/>
        <v>4.3686574836539087</v>
      </c>
      <c r="G74" s="21">
        <f t="shared" si="15"/>
        <v>0.47123889803846902</v>
      </c>
      <c r="H74" s="21">
        <f t="shared" si="9"/>
        <v>3.8974185856154397</v>
      </c>
      <c r="I74" s="22">
        <f t="shared" si="10"/>
        <v>0.10786812649004672</v>
      </c>
      <c r="J74" s="26">
        <f>J73+C74*'2 Steam Properties'!$B$13</f>
        <v>1315.9078013594515</v>
      </c>
      <c r="K74" s="25">
        <f t="shared" si="11"/>
        <v>301.21560371421867</v>
      </c>
      <c r="L74" s="25">
        <f>K74/'1 Inputs'!$B$10</f>
        <v>71.957860419068012</v>
      </c>
      <c r="M74" s="27">
        <f>J73+C74*'2 Steam Properties'!$B$13-J74</f>
        <v>0</v>
      </c>
    </row>
    <row r="75" spans="1:13" x14ac:dyDescent="0.2">
      <c r="A75" s="28">
        <f t="shared" si="12"/>
        <v>56</v>
      </c>
      <c r="B75" s="25">
        <f>A75*'3 Node Calculations'!$G$7</f>
        <v>1.1200000000000001</v>
      </c>
      <c r="C75" s="21">
        <f>IF(AND(B75&gt;='1 Inputs'!$B$25,B74&lt;'1 Inputs'!$B$25),'3 Node Calculations'!$G$11,0)</f>
        <v>0</v>
      </c>
      <c r="D75" s="21">
        <f t="shared" si="13"/>
        <v>0.44166666666666665</v>
      </c>
      <c r="E75" s="21">
        <f t="shared" si="14"/>
        <v>3.9269908169872418</v>
      </c>
      <c r="F75" s="21">
        <f t="shared" si="8"/>
        <v>4.3686574836539087</v>
      </c>
      <c r="G75" s="21">
        <f t="shared" si="15"/>
        <v>0.47123889803846902</v>
      </c>
      <c r="H75" s="21">
        <f t="shared" si="9"/>
        <v>3.8974185856154397</v>
      </c>
      <c r="I75" s="22">
        <f t="shared" si="10"/>
        <v>0.10786812649004672</v>
      </c>
      <c r="J75" s="26">
        <f>J74+C75*'2 Steam Properties'!$B$13</f>
        <v>1315.9078013594515</v>
      </c>
      <c r="K75" s="25">
        <f t="shared" si="11"/>
        <v>301.21560371421867</v>
      </c>
      <c r="L75" s="25">
        <f>K75/'1 Inputs'!$B$10</f>
        <v>71.957860419068012</v>
      </c>
      <c r="M75" s="27">
        <f>J74+C75*'2 Steam Properties'!$B$13-J75</f>
        <v>0</v>
      </c>
    </row>
    <row r="76" spans="1:13" x14ac:dyDescent="0.2">
      <c r="A76" s="28">
        <f t="shared" si="12"/>
        <v>57</v>
      </c>
      <c r="B76" s="25">
        <f>A76*'3 Node Calculations'!$G$7</f>
        <v>1.1400000000000001</v>
      </c>
      <c r="C76" s="21">
        <f>IF(AND(B76&gt;='1 Inputs'!$B$25,B75&lt;'1 Inputs'!$B$25),'3 Node Calculations'!$G$11,0)</f>
        <v>0</v>
      </c>
      <c r="D76" s="21">
        <f t="shared" si="13"/>
        <v>0.44166666666666665</v>
      </c>
      <c r="E76" s="21">
        <f t="shared" si="14"/>
        <v>3.9269908169872418</v>
      </c>
      <c r="F76" s="21">
        <f t="shared" si="8"/>
        <v>4.3686574836539087</v>
      </c>
      <c r="G76" s="21">
        <f t="shared" si="15"/>
        <v>0.47123889803846902</v>
      </c>
      <c r="H76" s="21">
        <f t="shared" si="9"/>
        <v>3.8974185856154397</v>
      </c>
      <c r="I76" s="22">
        <f t="shared" si="10"/>
        <v>0.10786812649004672</v>
      </c>
      <c r="J76" s="26">
        <f>J75+C76*'2 Steam Properties'!$B$13</f>
        <v>1315.9078013594515</v>
      </c>
      <c r="K76" s="25">
        <f t="shared" si="11"/>
        <v>301.21560371421867</v>
      </c>
      <c r="L76" s="25">
        <f>K76/'1 Inputs'!$B$10</f>
        <v>71.957860419068012</v>
      </c>
      <c r="M76" s="27">
        <f>J75+C76*'2 Steam Properties'!$B$13-J76</f>
        <v>0</v>
      </c>
    </row>
    <row r="77" spans="1:13" x14ac:dyDescent="0.2">
      <c r="A77" s="28">
        <f t="shared" si="12"/>
        <v>58</v>
      </c>
      <c r="B77" s="25">
        <f>A77*'3 Node Calculations'!$G$7</f>
        <v>1.1599999999999999</v>
      </c>
      <c r="C77" s="21">
        <f>IF(AND(B77&gt;='1 Inputs'!$B$25,B76&lt;'1 Inputs'!$B$25),'3 Node Calculations'!$G$11,0)</f>
        <v>0</v>
      </c>
      <c r="D77" s="21">
        <f t="shared" si="13"/>
        <v>0.44166666666666665</v>
      </c>
      <c r="E77" s="21">
        <f t="shared" si="14"/>
        <v>3.9269908169872418</v>
      </c>
      <c r="F77" s="21">
        <f t="shared" si="8"/>
        <v>4.3686574836539087</v>
      </c>
      <c r="G77" s="21">
        <f t="shared" si="15"/>
        <v>0.47123889803846902</v>
      </c>
      <c r="H77" s="21">
        <f t="shared" si="9"/>
        <v>3.8974185856154397</v>
      </c>
      <c r="I77" s="22">
        <f t="shared" si="10"/>
        <v>0.10786812649004672</v>
      </c>
      <c r="J77" s="26">
        <f>J76+C77*'2 Steam Properties'!$B$13</f>
        <v>1315.9078013594515</v>
      </c>
      <c r="K77" s="25">
        <f t="shared" si="11"/>
        <v>301.21560371421867</v>
      </c>
      <c r="L77" s="25">
        <f>K77/'1 Inputs'!$B$10</f>
        <v>71.957860419068012</v>
      </c>
      <c r="M77" s="27">
        <f>J76+C77*'2 Steam Properties'!$B$13-J77</f>
        <v>0</v>
      </c>
    </row>
    <row r="78" spans="1:13" x14ac:dyDescent="0.2">
      <c r="A78" s="28">
        <f t="shared" si="12"/>
        <v>59</v>
      </c>
      <c r="B78" s="25">
        <f>A78*'3 Node Calculations'!$G$7</f>
        <v>1.18</v>
      </c>
      <c r="C78" s="21">
        <f>IF(AND(B78&gt;='1 Inputs'!$B$25,B77&lt;'1 Inputs'!$B$25),'3 Node Calculations'!$G$11,0)</f>
        <v>0</v>
      </c>
      <c r="D78" s="21">
        <f t="shared" si="13"/>
        <v>0.44166666666666665</v>
      </c>
      <c r="E78" s="21">
        <f t="shared" si="14"/>
        <v>3.9269908169872418</v>
      </c>
      <c r="F78" s="21">
        <f t="shared" si="8"/>
        <v>4.3686574836539087</v>
      </c>
      <c r="G78" s="21">
        <f t="shared" si="15"/>
        <v>0.47123889803846902</v>
      </c>
      <c r="H78" s="21">
        <f t="shared" si="9"/>
        <v>3.8974185856154397</v>
      </c>
      <c r="I78" s="22">
        <f t="shared" si="10"/>
        <v>0.10786812649004672</v>
      </c>
      <c r="J78" s="26">
        <f>J77+C78*'2 Steam Properties'!$B$13</f>
        <v>1315.9078013594515</v>
      </c>
      <c r="K78" s="25">
        <f t="shared" si="11"/>
        <v>301.21560371421867</v>
      </c>
      <c r="L78" s="25">
        <f>K78/'1 Inputs'!$B$10</f>
        <v>71.957860419068012</v>
      </c>
      <c r="M78" s="27">
        <f>J77+C78*'2 Steam Properties'!$B$13-J78</f>
        <v>0</v>
      </c>
    </row>
    <row r="79" spans="1:13" x14ac:dyDescent="0.2">
      <c r="A79" s="28">
        <f t="shared" si="12"/>
        <v>60</v>
      </c>
      <c r="B79" s="25">
        <f>A79*'3 Node Calculations'!$G$7</f>
        <v>1.2</v>
      </c>
      <c r="C79" s="21">
        <f>IF(AND(B79&gt;='1 Inputs'!$B$25,B78&lt;'1 Inputs'!$B$25),'3 Node Calculations'!$G$11,0)</f>
        <v>0</v>
      </c>
      <c r="D79" s="21">
        <f t="shared" si="13"/>
        <v>0.44166666666666665</v>
      </c>
      <c r="E79" s="21">
        <f t="shared" si="14"/>
        <v>3.9269908169872418</v>
      </c>
      <c r="F79" s="21">
        <f t="shared" si="8"/>
        <v>4.3686574836539087</v>
      </c>
      <c r="G79" s="21">
        <f t="shared" si="15"/>
        <v>0.47123889803846902</v>
      </c>
      <c r="H79" s="21">
        <f t="shared" si="9"/>
        <v>3.8974185856154397</v>
      </c>
      <c r="I79" s="22">
        <f t="shared" si="10"/>
        <v>0.10786812649004672</v>
      </c>
      <c r="J79" s="26">
        <f>J78+C79*'2 Steam Properties'!$B$13</f>
        <v>1315.9078013594515</v>
      </c>
      <c r="K79" s="25">
        <f t="shared" si="11"/>
        <v>301.21560371421867</v>
      </c>
      <c r="L79" s="25">
        <f>K79/'1 Inputs'!$B$10</f>
        <v>71.957860419068012</v>
      </c>
      <c r="M79" s="27">
        <f>J78+C79*'2 Steam Properties'!$B$13-J79</f>
        <v>0</v>
      </c>
    </row>
    <row r="80" spans="1:13" x14ac:dyDescent="0.2">
      <c r="A80" s="28">
        <f t="shared" si="12"/>
        <v>61</v>
      </c>
      <c r="B80" s="25">
        <f>A80*'3 Node Calculations'!$G$7</f>
        <v>1.22</v>
      </c>
      <c r="C80" s="21">
        <f>IF(AND(B80&gt;='1 Inputs'!$B$25,B79&lt;'1 Inputs'!$B$25),'3 Node Calculations'!$G$11,0)</f>
        <v>0</v>
      </c>
      <c r="D80" s="21">
        <f t="shared" si="13"/>
        <v>0.44166666666666665</v>
      </c>
      <c r="E80" s="21">
        <f t="shared" si="14"/>
        <v>3.9269908169872418</v>
      </c>
      <c r="F80" s="21">
        <f t="shared" si="8"/>
        <v>4.3686574836539087</v>
      </c>
      <c r="G80" s="21">
        <f t="shared" si="15"/>
        <v>0.47123889803846902</v>
      </c>
      <c r="H80" s="21">
        <f t="shared" si="9"/>
        <v>3.8974185856154397</v>
      </c>
      <c r="I80" s="22">
        <f t="shared" si="10"/>
        <v>0.10786812649004672</v>
      </c>
      <c r="J80" s="26">
        <f>J79+C80*'2 Steam Properties'!$B$13</f>
        <v>1315.9078013594515</v>
      </c>
      <c r="K80" s="25">
        <f t="shared" si="11"/>
        <v>301.21560371421867</v>
      </c>
      <c r="L80" s="25">
        <f>K80/'1 Inputs'!$B$10</f>
        <v>71.957860419068012</v>
      </c>
      <c r="M80" s="27">
        <f>J79+C80*'2 Steam Properties'!$B$13-J80</f>
        <v>0</v>
      </c>
    </row>
    <row r="81" spans="1:13" x14ac:dyDescent="0.2">
      <c r="A81" s="28">
        <f t="shared" si="12"/>
        <v>62</v>
      </c>
      <c r="B81" s="25">
        <f>A81*'3 Node Calculations'!$G$7</f>
        <v>1.24</v>
      </c>
      <c r="C81" s="21">
        <f>IF(AND(B81&gt;='1 Inputs'!$B$25,B80&lt;'1 Inputs'!$B$25),'3 Node Calculations'!$G$11,0)</f>
        <v>0</v>
      </c>
      <c r="D81" s="21">
        <f t="shared" si="13"/>
        <v>0.44166666666666665</v>
      </c>
      <c r="E81" s="21">
        <f t="shared" si="14"/>
        <v>3.9269908169872418</v>
      </c>
      <c r="F81" s="21">
        <f t="shared" si="8"/>
        <v>4.3686574836539087</v>
      </c>
      <c r="G81" s="21">
        <f t="shared" si="15"/>
        <v>0.47123889803846902</v>
      </c>
      <c r="H81" s="21">
        <f t="shared" si="9"/>
        <v>3.8974185856154397</v>
      </c>
      <c r="I81" s="22">
        <f t="shared" si="10"/>
        <v>0.10786812649004672</v>
      </c>
      <c r="J81" s="26">
        <f>J80+C81*'2 Steam Properties'!$B$13</f>
        <v>1315.9078013594515</v>
      </c>
      <c r="K81" s="25">
        <f t="shared" si="11"/>
        <v>301.21560371421867</v>
      </c>
      <c r="L81" s="25">
        <f>K81/'1 Inputs'!$B$10</f>
        <v>71.957860419068012</v>
      </c>
      <c r="M81" s="27">
        <f>J80+C81*'2 Steam Properties'!$B$13-J81</f>
        <v>0</v>
      </c>
    </row>
    <row r="82" spans="1:13" x14ac:dyDescent="0.2">
      <c r="A82" s="28">
        <f t="shared" si="12"/>
        <v>63</v>
      </c>
      <c r="B82" s="25">
        <f>A82*'3 Node Calculations'!$G$7</f>
        <v>1.26</v>
      </c>
      <c r="C82" s="21">
        <f>IF(AND(B82&gt;='1 Inputs'!$B$25,B81&lt;'1 Inputs'!$B$25),'3 Node Calculations'!$G$11,0)</f>
        <v>0</v>
      </c>
      <c r="D82" s="21">
        <f t="shared" si="13"/>
        <v>0.44166666666666665</v>
      </c>
      <c r="E82" s="21">
        <f t="shared" si="14"/>
        <v>3.9269908169872418</v>
      </c>
      <c r="F82" s="21">
        <f t="shared" si="8"/>
        <v>4.3686574836539087</v>
      </c>
      <c r="G82" s="21">
        <f t="shared" si="15"/>
        <v>0.47123889803846902</v>
      </c>
      <c r="H82" s="21">
        <f t="shared" si="9"/>
        <v>3.8974185856154397</v>
      </c>
      <c r="I82" s="22">
        <f t="shared" si="10"/>
        <v>0.10786812649004672</v>
      </c>
      <c r="J82" s="26">
        <f>J81+C82*'2 Steam Properties'!$B$13</f>
        <v>1315.9078013594515</v>
      </c>
      <c r="K82" s="25">
        <f t="shared" si="11"/>
        <v>301.21560371421867</v>
      </c>
      <c r="L82" s="25">
        <f>K82/'1 Inputs'!$B$10</f>
        <v>71.957860419068012</v>
      </c>
      <c r="M82" s="27">
        <f>J81+C82*'2 Steam Properties'!$B$13-J82</f>
        <v>0</v>
      </c>
    </row>
    <row r="83" spans="1:13" x14ac:dyDescent="0.2">
      <c r="A83" s="28">
        <f t="shared" si="12"/>
        <v>64</v>
      </c>
      <c r="B83" s="25">
        <f>A83*'3 Node Calculations'!$G$7</f>
        <v>1.28</v>
      </c>
      <c r="C83" s="21">
        <f>IF(AND(B83&gt;='1 Inputs'!$B$25,B82&lt;'1 Inputs'!$B$25),'3 Node Calculations'!$G$11,0)</f>
        <v>0</v>
      </c>
      <c r="D83" s="21">
        <f t="shared" si="13"/>
        <v>0.44166666666666665</v>
      </c>
      <c r="E83" s="21">
        <f t="shared" si="14"/>
        <v>3.9269908169872418</v>
      </c>
      <c r="F83" s="21">
        <f t="shared" ref="F83:F114" si="16">E83+D83</f>
        <v>4.3686574836539087</v>
      </c>
      <c r="G83" s="21">
        <f t="shared" si="15"/>
        <v>0.47123889803846902</v>
      </c>
      <c r="H83" s="21">
        <f t="shared" ref="H83:H114" si="17">F83-G83</f>
        <v>3.8974185856154397</v>
      </c>
      <c r="I83" s="22">
        <f t="shared" ref="I83:I119" si="18">G83/F83</f>
        <v>0.10786812649004672</v>
      </c>
      <c r="J83" s="26">
        <f>J82+C83*'2 Steam Properties'!$B$13</f>
        <v>1315.9078013594515</v>
      </c>
      <c r="K83" s="25">
        <f t="shared" ref="K83:K114" si="19">J83/F83</f>
        <v>301.21560371421867</v>
      </c>
      <c r="L83" s="25">
        <f>K83/'1 Inputs'!$B$10</f>
        <v>71.957860419068012</v>
      </c>
      <c r="M83" s="27">
        <f>J82+C83*'2 Steam Properties'!$B$13-J83</f>
        <v>0</v>
      </c>
    </row>
    <row r="84" spans="1:13" x14ac:dyDescent="0.2">
      <c r="A84" s="28">
        <f t="shared" ref="A84:A119" si="20">A83+1</f>
        <v>65</v>
      </c>
      <c r="B84" s="25">
        <f>A84*'3 Node Calculations'!$G$7</f>
        <v>1.3</v>
      </c>
      <c r="C84" s="21">
        <f>IF(AND(B84&gt;='1 Inputs'!$B$25,B83&lt;'1 Inputs'!$B$25),'3 Node Calculations'!$G$11,0)</f>
        <v>0</v>
      </c>
      <c r="D84" s="21">
        <f t="shared" ref="D84:D115" si="21">D83+C84</f>
        <v>0.44166666666666665</v>
      </c>
      <c r="E84" s="21">
        <f t="shared" ref="E84:E119" si="22">E83</f>
        <v>3.9269908169872418</v>
      </c>
      <c r="F84" s="21">
        <f t="shared" si="16"/>
        <v>4.3686574836539087</v>
      </c>
      <c r="G84" s="21">
        <f t="shared" ref="G84:G119" si="23">G83</f>
        <v>0.47123889803846902</v>
      </c>
      <c r="H84" s="21">
        <f t="shared" si="17"/>
        <v>3.8974185856154397</v>
      </c>
      <c r="I84" s="22">
        <f t="shared" si="18"/>
        <v>0.10786812649004672</v>
      </c>
      <c r="J84" s="26">
        <f>J83+C84*'2 Steam Properties'!$B$13</f>
        <v>1315.9078013594515</v>
      </c>
      <c r="K84" s="25">
        <f t="shared" si="19"/>
        <v>301.21560371421867</v>
      </c>
      <c r="L84" s="25">
        <f>K84/'1 Inputs'!$B$10</f>
        <v>71.957860419068012</v>
      </c>
      <c r="M84" s="27">
        <f>J83+C84*'2 Steam Properties'!$B$13-J84</f>
        <v>0</v>
      </c>
    </row>
    <row r="85" spans="1:13" x14ac:dyDescent="0.2">
      <c r="A85" s="28">
        <f t="shared" si="20"/>
        <v>66</v>
      </c>
      <c r="B85" s="25">
        <f>A85*'3 Node Calculations'!$G$7</f>
        <v>1.32</v>
      </c>
      <c r="C85" s="21">
        <f>IF(AND(B85&gt;='1 Inputs'!$B$25,B84&lt;'1 Inputs'!$B$25),'3 Node Calculations'!$G$11,0)</f>
        <v>0</v>
      </c>
      <c r="D85" s="21">
        <f t="shared" si="21"/>
        <v>0.44166666666666665</v>
      </c>
      <c r="E85" s="21">
        <f t="shared" si="22"/>
        <v>3.9269908169872418</v>
      </c>
      <c r="F85" s="21">
        <f t="shared" si="16"/>
        <v>4.3686574836539087</v>
      </c>
      <c r="G85" s="21">
        <f t="shared" si="23"/>
        <v>0.47123889803846902</v>
      </c>
      <c r="H85" s="21">
        <f t="shared" si="17"/>
        <v>3.8974185856154397</v>
      </c>
      <c r="I85" s="22">
        <f t="shared" si="18"/>
        <v>0.10786812649004672</v>
      </c>
      <c r="J85" s="26">
        <f>J84+C85*'2 Steam Properties'!$B$13</f>
        <v>1315.9078013594515</v>
      </c>
      <c r="K85" s="25">
        <f t="shared" si="19"/>
        <v>301.21560371421867</v>
      </c>
      <c r="L85" s="25">
        <f>K85/'1 Inputs'!$B$10</f>
        <v>71.957860419068012</v>
      </c>
      <c r="M85" s="27">
        <f>J84+C85*'2 Steam Properties'!$B$13-J85</f>
        <v>0</v>
      </c>
    </row>
    <row r="86" spans="1:13" x14ac:dyDescent="0.2">
      <c r="A86" s="28">
        <f t="shared" si="20"/>
        <v>67</v>
      </c>
      <c r="B86" s="25">
        <f>A86*'3 Node Calculations'!$G$7</f>
        <v>1.34</v>
      </c>
      <c r="C86" s="21">
        <f>IF(AND(B86&gt;='1 Inputs'!$B$25,B85&lt;'1 Inputs'!$B$25),'3 Node Calculations'!$G$11,0)</f>
        <v>0</v>
      </c>
      <c r="D86" s="21">
        <f t="shared" si="21"/>
        <v>0.44166666666666665</v>
      </c>
      <c r="E86" s="21">
        <f t="shared" si="22"/>
        <v>3.9269908169872418</v>
      </c>
      <c r="F86" s="21">
        <f t="shared" si="16"/>
        <v>4.3686574836539087</v>
      </c>
      <c r="G86" s="21">
        <f t="shared" si="23"/>
        <v>0.47123889803846902</v>
      </c>
      <c r="H86" s="21">
        <f t="shared" si="17"/>
        <v>3.8974185856154397</v>
      </c>
      <c r="I86" s="22">
        <f t="shared" si="18"/>
        <v>0.10786812649004672</v>
      </c>
      <c r="J86" s="26">
        <f>J85+C86*'2 Steam Properties'!$B$13</f>
        <v>1315.9078013594515</v>
      </c>
      <c r="K86" s="25">
        <f t="shared" si="19"/>
        <v>301.21560371421867</v>
      </c>
      <c r="L86" s="25">
        <f>K86/'1 Inputs'!$B$10</f>
        <v>71.957860419068012</v>
      </c>
      <c r="M86" s="27">
        <f>J85+C86*'2 Steam Properties'!$B$13-J86</f>
        <v>0</v>
      </c>
    </row>
    <row r="87" spans="1:13" x14ac:dyDescent="0.2">
      <c r="A87" s="28">
        <f t="shared" si="20"/>
        <v>68</v>
      </c>
      <c r="B87" s="25">
        <f>A87*'3 Node Calculations'!$G$7</f>
        <v>1.36</v>
      </c>
      <c r="C87" s="21">
        <f>IF(AND(B87&gt;='1 Inputs'!$B$25,B86&lt;'1 Inputs'!$B$25),'3 Node Calculations'!$G$11,0)</f>
        <v>0</v>
      </c>
      <c r="D87" s="21">
        <f t="shared" si="21"/>
        <v>0.44166666666666665</v>
      </c>
      <c r="E87" s="21">
        <f t="shared" si="22"/>
        <v>3.9269908169872418</v>
      </c>
      <c r="F87" s="21">
        <f t="shared" si="16"/>
        <v>4.3686574836539087</v>
      </c>
      <c r="G87" s="21">
        <f t="shared" si="23"/>
        <v>0.47123889803846902</v>
      </c>
      <c r="H87" s="21">
        <f t="shared" si="17"/>
        <v>3.8974185856154397</v>
      </c>
      <c r="I87" s="22">
        <f t="shared" si="18"/>
        <v>0.10786812649004672</v>
      </c>
      <c r="J87" s="26">
        <f>J86+C87*'2 Steam Properties'!$B$13</f>
        <v>1315.9078013594515</v>
      </c>
      <c r="K87" s="25">
        <f t="shared" si="19"/>
        <v>301.21560371421867</v>
      </c>
      <c r="L87" s="25">
        <f>K87/'1 Inputs'!$B$10</f>
        <v>71.957860419068012</v>
      </c>
      <c r="M87" s="27">
        <f>J86+C87*'2 Steam Properties'!$B$13-J87</f>
        <v>0</v>
      </c>
    </row>
    <row r="88" spans="1:13" x14ac:dyDescent="0.2">
      <c r="A88" s="28">
        <f t="shared" si="20"/>
        <v>69</v>
      </c>
      <c r="B88" s="25">
        <f>A88*'3 Node Calculations'!$G$7</f>
        <v>1.3800000000000001</v>
      </c>
      <c r="C88" s="21">
        <f>IF(AND(B88&gt;='1 Inputs'!$B$25,B87&lt;'1 Inputs'!$B$25),'3 Node Calculations'!$G$11,0)</f>
        <v>0</v>
      </c>
      <c r="D88" s="21">
        <f t="shared" si="21"/>
        <v>0.44166666666666665</v>
      </c>
      <c r="E88" s="21">
        <f t="shared" si="22"/>
        <v>3.9269908169872418</v>
      </c>
      <c r="F88" s="21">
        <f t="shared" si="16"/>
        <v>4.3686574836539087</v>
      </c>
      <c r="G88" s="21">
        <f t="shared" si="23"/>
        <v>0.47123889803846902</v>
      </c>
      <c r="H88" s="21">
        <f t="shared" si="17"/>
        <v>3.8974185856154397</v>
      </c>
      <c r="I88" s="22">
        <f t="shared" si="18"/>
        <v>0.10786812649004672</v>
      </c>
      <c r="J88" s="26">
        <f>J87+C88*'2 Steam Properties'!$B$13</f>
        <v>1315.9078013594515</v>
      </c>
      <c r="K88" s="25">
        <f t="shared" si="19"/>
        <v>301.21560371421867</v>
      </c>
      <c r="L88" s="25">
        <f>K88/'1 Inputs'!$B$10</f>
        <v>71.957860419068012</v>
      </c>
      <c r="M88" s="27">
        <f>J87+C88*'2 Steam Properties'!$B$13-J88</f>
        <v>0</v>
      </c>
    </row>
    <row r="89" spans="1:13" x14ac:dyDescent="0.2">
      <c r="A89" s="28">
        <f t="shared" si="20"/>
        <v>70</v>
      </c>
      <c r="B89" s="25">
        <f>A89*'3 Node Calculations'!$G$7</f>
        <v>1.4000000000000001</v>
      </c>
      <c r="C89" s="21">
        <f>IF(AND(B89&gt;='1 Inputs'!$B$25,B88&lt;'1 Inputs'!$B$25),'3 Node Calculations'!$G$11,0)</f>
        <v>0</v>
      </c>
      <c r="D89" s="21">
        <f t="shared" si="21"/>
        <v>0.44166666666666665</v>
      </c>
      <c r="E89" s="21">
        <f t="shared" si="22"/>
        <v>3.9269908169872418</v>
      </c>
      <c r="F89" s="21">
        <f t="shared" si="16"/>
        <v>4.3686574836539087</v>
      </c>
      <c r="G89" s="21">
        <f t="shared" si="23"/>
        <v>0.47123889803846902</v>
      </c>
      <c r="H89" s="21">
        <f t="shared" si="17"/>
        <v>3.8974185856154397</v>
      </c>
      <c r="I89" s="22">
        <f t="shared" si="18"/>
        <v>0.10786812649004672</v>
      </c>
      <c r="J89" s="26">
        <f>J88+C89*'2 Steam Properties'!$B$13</f>
        <v>1315.9078013594515</v>
      </c>
      <c r="K89" s="25">
        <f t="shared" si="19"/>
        <v>301.21560371421867</v>
      </c>
      <c r="L89" s="25">
        <f>K89/'1 Inputs'!$B$10</f>
        <v>71.957860419068012</v>
      </c>
      <c r="M89" s="27">
        <f>J88+C89*'2 Steam Properties'!$B$13-J89</f>
        <v>0</v>
      </c>
    </row>
    <row r="90" spans="1:13" x14ac:dyDescent="0.2">
      <c r="A90" s="28">
        <f t="shared" si="20"/>
        <v>71</v>
      </c>
      <c r="B90" s="25">
        <f>A90*'3 Node Calculations'!$G$7</f>
        <v>1.42</v>
      </c>
      <c r="C90" s="21">
        <f>IF(AND(B90&gt;='1 Inputs'!$B$25,B89&lt;'1 Inputs'!$B$25),'3 Node Calculations'!$G$11,0)</f>
        <v>0</v>
      </c>
      <c r="D90" s="21">
        <f t="shared" si="21"/>
        <v>0.44166666666666665</v>
      </c>
      <c r="E90" s="21">
        <f t="shared" si="22"/>
        <v>3.9269908169872418</v>
      </c>
      <c r="F90" s="21">
        <f t="shared" si="16"/>
        <v>4.3686574836539087</v>
      </c>
      <c r="G90" s="21">
        <f t="shared" si="23"/>
        <v>0.47123889803846902</v>
      </c>
      <c r="H90" s="21">
        <f t="shared" si="17"/>
        <v>3.8974185856154397</v>
      </c>
      <c r="I90" s="22">
        <f t="shared" si="18"/>
        <v>0.10786812649004672</v>
      </c>
      <c r="J90" s="26">
        <f>J89+C90*'2 Steam Properties'!$B$13</f>
        <v>1315.9078013594515</v>
      </c>
      <c r="K90" s="25">
        <f t="shared" si="19"/>
        <v>301.21560371421867</v>
      </c>
      <c r="L90" s="25">
        <f>K90/'1 Inputs'!$B$10</f>
        <v>71.957860419068012</v>
      </c>
      <c r="M90" s="27">
        <f>J89+C90*'2 Steam Properties'!$B$13-J90</f>
        <v>0</v>
      </c>
    </row>
    <row r="91" spans="1:13" x14ac:dyDescent="0.2">
      <c r="A91" s="28">
        <f t="shared" si="20"/>
        <v>72</v>
      </c>
      <c r="B91" s="25">
        <f>A91*'3 Node Calculations'!$G$7</f>
        <v>1.44</v>
      </c>
      <c r="C91" s="21">
        <f>IF(AND(B91&gt;='1 Inputs'!$B$25,B90&lt;'1 Inputs'!$B$25),'3 Node Calculations'!$G$11,0)</f>
        <v>0</v>
      </c>
      <c r="D91" s="21">
        <f t="shared" si="21"/>
        <v>0.44166666666666665</v>
      </c>
      <c r="E91" s="21">
        <f t="shared" si="22"/>
        <v>3.9269908169872418</v>
      </c>
      <c r="F91" s="21">
        <f t="shared" si="16"/>
        <v>4.3686574836539087</v>
      </c>
      <c r="G91" s="21">
        <f t="shared" si="23"/>
        <v>0.47123889803846902</v>
      </c>
      <c r="H91" s="21">
        <f t="shared" si="17"/>
        <v>3.8974185856154397</v>
      </c>
      <c r="I91" s="22">
        <f t="shared" si="18"/>
        <v>0.10786812649004672</v>
      </c>
      <c r="J91" s="26">
        <f>J90+C91*'2 Steam Properties'!$B$13</f>
        <v>1315.9078013594515</v>
      </c>
      <c r="K91" s="25">
        <f t="shared" si="19"/>
        <v>301.21560371421867</v>
      </c>
      <c r="L91" s="25">
        <f>K91/'1 Inputs'!$B$10</f>
        <v>71.957860419068012</v>
      </c>
      <c r="M91" s="27">
        <f>J90+C91*'2 Steam Properties'!$B$13-J91</f>
        <v>0</v>
      </c>
    </row>
    <row r="92" spans="1:13" x14ac:dyDescent="0.2">
      <c r="A92" s="28">
        <f t="shared" si="20"/>
        <v>73</v>
      </c>
      <c r="B92" s="25">
        <f>A92*'3 Node Calculations'!$G$7</f>
        <v>1.46</v>
      </c>
      <c r="C92" s="21">
        <f>IF(AND(B92&gt;='1 Inputs'!$B$25,B91&lt;'1 Inputs'!$B$25),'3 Node Calculations'!$G$11,0)</f>
        <v>0</v>
      </c>
      <c r="D92" s="21">
        <f t="shared" si="21"/>
        <v>0.44166666666666665</v>
      </c>
      <c r="E92" s="21">
        <f t="shared" si="22"/>
        <v>3.9269908169872418</v>
      </c>
      <c r="F92" s="21">
        <f t="shared" si="16"/>
        <v>4.3686574836539087</v>
      </c>
      <c r="G92" s="21">
        <f t="shared" si="23"/>
        <v>0.47123889803846902</v>
      </c>
      <c r="H92" s="21">
        <f t="shared" si="17"/>
        <v>3.8974185856154397</v>
      </c>
      <c r="I92" s="22">
        <f t="shared" si="18"/>
        <v>0.10786812649004672</v>
      </c>
      <c r="J92" s="26">
        <f>J91+C92*'2 Steam Properties'!$B$13</f>
        <v>1315.9078013594515</v>
      </c>
      <c r="K92" s="25">
        <f t="shared" si="19"/>
        <v>301.21560371421867</v>
      </c>
      <c r="L92" s="25">
        <f>K92/'1 Inputs'!$B$10</f>
        <v>71.957860419068012</v>
      </c>
      <c r="M92" s="27">
        <f>J91+C92*'2 Steam Properties'!$B$13-J92</f>
        <v>0</v>
      </c>
    </row>
    <row r="93" spans="1:13" x14ac:dyDescent="0.2">
      <c r="A93" s="28">
        <f t="shared" si="20"/>
        <v>74</v>
      </c>
      <c r="B93" s="25">
        <f>A93*'3 Node Calculations'!$G$7</f>
        <v>1.48</v>
      </c>
      <c r="C93" s="21">
        <f>IF(AND(B93&gt;='1 Inputs'!$B$25,B92&lt;'1 Inputs'!$B$25),'3 Node Calculations'!$G$11,0)</f>
        <v>0</v>
      </c>
      <c r="D93" s="21">
        <f t="shared" si="21"/>
        <v>0.44166666666666665</v>
      </c>
      <c r="E93" s="21">
        <f t="shared" si="22"/>
        <v>3.9269908169872418</v>
      </c>
      <c r="F93" s="21">
        <f t="shared" si="16"/>
        <v>4.3686574836539087</v>
      </c>
      <c r="G93" s="21">
        <f t="shared" si="23"/>
        <v>0.47123889803846902</v>
      </c>
      <c r="H93" s="21">
        <f t="shared" si="17"/>
        <v>3.8974185856154397</v>
      </c>
      <c r="I93" s="22">
        <f t="shared" si="18"/>
        <v>0.10786812649004672</v>
      </c>
      <c r="J93" s="26">
        <f>J92+C93*'2 Steam Properties'!$B$13</f>
        <v>1315.9078013594515</v>
      </c>
      <c r="K93" s="25">
        <f t="shared" si="19"/>
        <v>301.21560371421867</v>
      </c>
      <c r="L93" s="25">
        <f>K93/'1 Inputs'!$B$10</f>
        <v>71.957860419068012</v>
      </c>
      <c r="M93" s="27">
        <f>J92+C93*'2 Steam Properties'!$B$13-J93</f>
        <v>0</v>
      </c>
    </row>
    <row r="94" spans="1:13" x14ac:dyDescent="0.2">
      <c r="A94" s="28">
        <f t="shared" si="20"/>
        <v>75</v>
      </c>
      <c r="B94" s="25">
        <f>A94*'3 Node Calculations'!$G$7</f>
        <v>1.5</v>
      </c>
      <c r="C94" s="21">
        <f>IF(AND(B94&gt;='1 Inputs'!$B$25,B93&lt;'1 Inputs'!$B$25),'3 Node Calculations'!$G$11,0)</f>
        <v>0</v>
      </c>
      <c r="D94" s="21">
        <f t="shared" si="21"/>
        <v>0.44166666666666665</v>
      </c>
      <c r="E94" s="21">
        <f t="shared" si="22"/>
        <v>3.9269908169872418</v>
      </c>
      <c r="F94" s="21">
        <f t="shared" si="16"/>
        <v>4.3686574836539087</v>
      </c>
      <c r="G94" s="21">
        <f t="shared" si="23"/>
        <v>0.47123889803846902</v>
      </c>
      <c r="H94" s="21">
        <f t="shared" si="17"/>
        <v>3.8974185856154397</v>
      </c>
      <c r="I94" s="22">
        <f t="shared" si="18"/>
        <v>0.10786812649004672</v>
      </c>
      <c r="J94" s="26">
        <f>J93+C94*'2 Steam Properties'!$B$13</f>
        <v>1315.9078013594515</v>
      </c>
      <c r="K94" s="25">
        <f t="shared" si="19"/>
        <v>301.21560371421867</v>
      </c>
      <c r="L94" s="25">
        <f>K94/'1 Inputs'!$B$10</f>
        <v>71.957860419068012</v>
      </c>
      <c r="M94" s="27">
        <f>J93+C94*'2 Steam Properties'!$B$13-J94</f>
        <v>0</v>
      </c>
    </row>
    <row r="95" spans="1:13" x14ac:dyDescent="0.2">
      <c r="A95" s="28">
        <f t="shared" si="20"/>
        <v>76</v>
      </c>
      <c r="B95" s="25">
        <f>A95*'3 Node Calculations'!$G$7</f>
        <v>1.52</v>
      </c>
      <c r="C95" s="21">
        <f>IF(AND(B95&gt;='1 Inputs'!$B$25,B94&lt;'1 Inputs'!$B$25),'3 Node Calculations'!$G$11,0)</f>
        <v>0</v>
      </c>
      <c r="D95" s="21">
        <f t="shared" si="21"/>
        <v>0.44166666666666665</v>
      </c>
      <c r="E95" s="21">
        <f t="shared" si="22"/>
        <v>3.9269908169872418</v>
      </c>
      <c r="F95" s="21">
        <f t="shared" si="16"/>
        <v>4.3686574836539087</v>
      </c>
      <c r="G95" s="21">
        <f t="shared" si="23"/>
        <v>0.47123889803846902</v>
      </c>
      <c r="H95" s="21">
        <f t="shared" si="17"/>
        <v>3.8974185856154397</v>
      </c>
      <c r="I95" s="22">
        <f t="shared" si="18"/>
        <v>0.10786812649004672</v>
      </c>
      <c r="J95" s="26">
        <f>J94+C95*'2 Steam Properties'!$B$13</f>
        <v>1315.9078013594515</v>
      </c>
      <c r="K95" s="25">
        <f t="shared" si="19"/>
        <v>301.21560371421867</v>
      </c>
      <c r="L95" s="25">
        <f>K95/'1 Inputs'!$B$10</f>
        <v>71.957860419068012</v>
      </c>
      <c r="M95" s="27">
        <f>J94+C95*'2 Steam Properties'!$B$13-J95</f>
        <v>0</v>
      </c>
    </row>
    <row r="96" spans="1:13" x14ac:dyDescent="0.2">
      <c r="A96" s="28">
        <f t="shared" si="20"/>
        <v>77</v>
      </c>
      <c r="B96" s="25">
        <f>A96*'3 Node Calculations'!$G$7</f>
        <v>1.54</v>
      </c>
      <c r="C96" s="21">
        <f>IF(AND(B96&gt;='1 Inputs'!$B$25,B95&lt;'1 Inputs'!$B$25),'3 Node Calculations'!$G$11,0)</f>
        <v>0</v>
      </c>
      <c r="D96" s="21">
        <f t="shared" si="21"/>
        <v>0.44166666666666665</v>
      </c>
      <c r="E96" s="21">
        <f t="shared" si="22"/>
        <v>3.9269908169872418</v>
      </c>
      <c r="F96" s="21">
        <f t="shared" si="16"/>
        <v>4.3686574836539087</v>
      </c>
      <c r="G96" s="21">
        <f t="shared" si="23"/>
        <v>0.47123889803846902</v>
      </c>
      <c r="H96" s="21">
        <f t="shared" si="17"/>
        <v>3.8974185856154397</v>
      </c>
      <c r="I96" s="22">
        <f t="shared" si="18"/>
        <v>0.10786812649004672</v>
      </c>
      <c r="J96" s="26">
        <f>J95+C96*'2 Steam Properties'!$B$13</f>
        <v>1315.9078013594515</v>
      </c>
      <c r="K96" s="25">
        <f t="shared" si="19"/>
        <v>301.21560371421867</v>
      </c>
      <c r="L96" s="25">
        <f>K96/'1 Inputs'!$B$10</f>
        <v>71.957860419068012</v>
      </c>
      <c r="M96" s="27">
        <f>J95+C96*'2 Steam Properties'!$B$13-J96</f>
        <v>0</v>
      </c>
    </row>
    <row r="97" spans="1:13" x14ac:dyDescent="0.2">
      <c r="A97" s="28">
        <f t="shared" si="20"/>
        <v>78</v>
      </c>
      <c r="B97" s="25">
        <f>A97*'3 Node Calculations'!$G$7</f>
        <v>1.56</v>
      </c>
      <c r="C97" s="21">
        <f>IF(AND(B97&gt;='1 Inputs'!$B$25,B96&lt;'1 Inputs'!$B$25),'3 Node Calculations'!$G$11,0)</f>
        <v>0</v>
      </c>
      <c r="D97" s="21">
        <f t="shared" si="21"/>
        <v>0.44166666666666665</v>
      </c>
      <c r="E97" s="21">
        <f t="shared" si="22"/>
        <v>3.9269908169872418</v>
      </c>
      <c r="F97" s="21">
        <f t="shared" si="16"/>
        <v>4.3686574836539087</v>
      </c>
      <c r="G97" s="21">
        <f t="shared" si="23"/>
        <v>0.47123889803846902</v>
      </c>
      <c r="H97" s="21">
        <f t="shared" si="17"/>
        <v>3.8974185856154397</v>
      </c>
      <c r="I97" s="22">
        <f t="shared" si="18"/>
        <v>0.10786812649004672</v>
      </c>
      <c r="J97" s="26">
        <f>J96+C97*'2 Steam Properties'!$B$13</f>
        <v>1315.9078013594515</v>
      </c>
      <c r="K97" s="25">
        <f t="shared" si="19"/>
        <v>301.21560371421867</v>
      </c>
      <c r="L97" s="25">
        <f>K97/'1 Inputs'!$B$10</f>
        <v>71.957860419068012</v>
      </c>
      <c r="M97" s="27">
        <f>J96+C97*'2 Steam Properties'!$B$13-J97</f>
        <v>0</v>
      </c>
    </row>
    <row r="98" spans="1:13" x14ac:dyDescent="0.2">
      <c r="A98" s="28">
        <f t="shared" si="20"/>
        <v>79</v>
      </c>
      <c r="B98" s="25">
        <f>A98*'3 Node Calculations'!$G$7</f>
        <v>1.58</v>
      </c>
      <c r="C98" s="21">
        <f>IF(AND(B98&gt;='1 Inputs'!$B$25,B97&lt;'1 Inputs'!$B$25),'3 Node Calculations'!$G$11,0)</f>
        <v>0</v>
      </c>
      <c r="D98" s="21">
        <f t="shared" si="21"/>
        <v>0.44166666666666665</v>
      </c>
      <c r="E98" s="21">
        <f t="shared" si="22"/>
        <v>3.9269908169872418</v>
      </c>
      <c r="F98" s="21">
        <f t="shared" si="16"/>
        <v>4.3686574836539087</v>
      </c>
      <c r="G98" s="21">
        <f t="shared" si="23"/>
        <v>0.47123889803846902</v>
      </c>
      <c r="H98" s="21">
        <f t="shared" si="17"/>
        <v>3.8974185856154397</v>
      </c>
      <c r="I98" s="22">
        <f t="shared" si="18"/>
        <v>0.10786812649004672</v>
      </c>
      <c r="J98" s="26">
        <f>J97+C98*'2 Steam Properties'!$B$13</f>
        <v>1315.9078013594515</v>
      </c>
      <c r="K98" s="25">
        <f t="shared" si="19"/>
        <v>301.21560371421867</v>
      </c>
      <c r="L98" s="25">
        <f>K98/'1 Inputs'!$B$10</f>
        <v>71.957860419068012</v>
      </c>
      <c r="M98" s="27">
        <f>J97+C98*'2 Steam Properties'!$B$13-J98</f>
        <v>0</v>
      </c>
    </row>
    <row r="99" spans="1:13" x14ac:dyDescent="0.2">
      <c r="A99" s="28">
        <f t="shared" si="20"/>
        <v>80</v>
      </c>
      <c r="B99" s="25">
        <f>A99*'3 Node Calculations'!$G$7</f>
        <v>1.6</v>
      </c>
      <c r="C99" s="21">
        <f>IF(AND(B99&gt;='1 Inputs'!$B$25,B98&lt;'1 Inputs'!$B$25),'3 Node Calculations'!$G$11,0)</f>
        <v>0</v>
      </c>
      <c r="D99" s="21">
        <f t="shared" si="21"/>
        <v>0.44166666666666665</v>
      </c>
      <c r="E99" s="21">
        <f t="shared" si="22"/>
        <v>3.9269908169872418</v>
      </c>
      <c r="F99" s="21">
        <f t="shared" si="16"/>
        <v>4.3686574836539087</v>
      </c>
      <c r="G99" s="21">
        <f t="shared" si="23"/>
        <v>0.47123889803846902</v>
      </c>
      <c r="H99" s="21">
        <f t="shared" si="17"/>
        <v>3.8974185856154397</v>
      </c>
      <c r="I99" s="22">
        <f t="shared" si="18"/>
        <v>0.10786812649004672</v>
      </c>
      <c r="J99" s="26">
        <f>J98+C99*'2 Steam Properties'!$B$13</f>
        <v>1315.9078013594515</v>
      </c>
      <c r="K99" s="25">
        <f t="shared" si="19"/>
        <v>301.21560371421867</v>
      </c>
      <c r="L99" s="25">
        <f>K99/'1 Inputs'!$B$10</f>
        <v>71.957860419068012</v>
      </c>
      <c r="M99" s="27">
        <f>J98+C99*'2 Steam Properties'!$B$13-J99</f>
        <v>0</v>
      </c>
    </row>
    <row r="100" spans="1:13" x14ac:dyDescent="0.2">
      <c r="A100" s="28">
        <f t="shared" si="20"/>
        <v>81</v>
      </c>
      <c r="B100" s="25">
        <f>A100*'3 Node Calculations'!$G$7</f>
        <v>1.62</v>
      </c>
      <c r="C100" s="21">
        <f>IF(AND(B100&gt;='1 Inputs'!$B$25,B99&lt;'1 Inputs'!$B$25),'3 Node Calculations'!$G$11,0)</f>
        <v>0</v>
      </c>
      <c r="D100" s="21">
        <f t="shared" si="21"/>
        <v>0.44166666666666665</v>
      </c>
      <c r="E100" s="21">
        <f t="shared" si="22"/>
        <v>3.9269908169872418</v>
      </c>
      <c r="F100" s="21">
        <f t="shared" si="16"/>
        <v>4.3686574836539087</v>
      </c>
      <c r="G100" s="21">
        <f t="shared" si="23"/>
        <v>0.47123889803846902</v>
      </c>
      <c r="H100" s="21">
        <f t="shared" si="17"/>
        <v>3.8974185856154397</v>
      </c>
      <c r="I100" s="22">
        <f t="shared" si="18"/>
        <v>0.10786812649004672</v>
      </c>
      <c r="J100" s="26">
        <f>J99+C100*'2 Steam Properties'!$B$13</f>
        <v>1315.9078013594515</v>
      </c>
      <c r="K100" s="25">
        <f t="shared" si="19"/>
        <v>301.21560371421867</v>
      </c>
      <c r="L100" s="25">
        <f>K100/'1 Inputs'!$B$10</f>
        <v>71.957860419068012</v>
      </c>
      <c r="M100" s="27">
        <f>J99+C100*'2 Steam Properties'!$B$13-J100</f>
        <v>0</v>
      </c>
    </row>
    <row r="101" spans="1:13" x14ac:dyDescent="0.2">
      <c r="A101" s="28">
        <f t="shared" si="20"/>
        <v>82</v>
      </c>
      <c r="B101" s="25">
        <f>A101*'3 Node Calculations'!$G$7</f>
        <v>1.6400000000000001</v>
      </c>
      <c r="C101" s="21">
        <f>IF(AND(B101&gt;='1 Inputs'!$B$25,B100&lt;'1 Inputs'!$B$25),'3 Node Calculations'!$G$11,0)</f>
        <v>0</v>
      </c>
      <c r="D101" s="21">
        <f t="shared" si="21"/>
        <v>0.44166666666666665</v>
      </c>
      <c r="E101" s="21">
        <f t="shared" si="22"/>
        <v>3.9269908169872418</v>
      </c>
      <c r="F101" s="21">
        <f t="shared" si="16"/>
        <v>4.3686574836539087</v>
      </c>
      <c r="G101" s="21">
        <f t="shared" si="23"/>
        <v>0.47123889803846902</v>
      </c>
      <c r="H101" s="21">
        <f t="shared" si="17"/>
        <v>3.8974185856154397</v>
      </c>
      <c r="I101" s="22">
        <f t="shared" si="18"/>
        <v>0.10786812649004672</v>
      </c>
      <c r="J101" s="26">
        <f>J100+C101*'2 Steam Properties'!$B$13</f>
        <v>1315.9078013594515</v>
      </c>
      <c r="K101" s="25">
        <f t="shared" si="19"/>
        <v>301.21560371421867</v>
      </c>
      <c r="L101" s="25">
        <f>K101/'1 Inputs'!$B$10</f>
        <v>71.957860419068012</v>
      </c>
      <c r="M101" s="27">
        <f>J100+C101*'2 Steam Properties'!$B$13-J101</f>
        <v>0</v>
      </c>
    </row>
    <row r="102" spans="1:13" x14ac:dyDescent="0.2">
      <c r="A102" s="28">
        <f t="shared" si="20"/>
        <v>83</v>
      </c>
      <c r="B102" s="25">
        <f>A102*'3 Node Calculations'!$G$7</f>
        <v>1.6600000000000001</v>
      </c>
      <c r="C102" s="21">
        <f>IF(AND(B102&gt;='1 Inputs'!$B$25,B101&lt;'1 Inputs'!$B$25),'3 Node Calculations'!$G$11,0)</f>
        <v>0</v>
      </c>
      <c r="D102" s="21">
        <f t="shared" si="21"/>
        <v>0.44166666666666665</v>
      </c>
      <c r="E102" s="21">
        <f t="shared" si="22"/>
        <v>3.9269908169872418</v>
      </c>
      <c r="F102" s="21">
        <f t="shared" si="16"/>
        <v>4.3686574836539087</v>
      </c>
      <c r="G102" s="21">
        <f t="shared" si="23"/>
        <v>0.47123889803846902</v>
      </c>
      <c r="H102" s="21">
        <f t="shared" si="17"/>
        <v>3.8974185856154397</v>
      </c>
      <c r="I102" s="22">
        <f t="shared" si="18"/>
        <v>0.10786812649004672</v>
      </c>
      <c r="J102" s="26">
        <f>J101+C102*'2 Steam Properties'!$B$13</f>
        <v>1315.9078013594515</v>
      </c>
      <c r="K102" s="25">
        <f t="shared" si="19"/>
        <v>301.21560371421867</v>
      </c>
      <c r="L102" s="25">
        <f>K102/'1 Inputs'!$B$10</f>
        <v>71.957860419068012</v>
      </c>
      <c r="M102" s="27">
        <f>J101+C102*'2 Steam Properties'!$B$13-J102</f>
        <v>0</v>
      </c>
    </row>
    <row r="103" spans="1:13" x14ac:dyDescent="0.2">
      <c r="A103" s="28">
        <f t="shared" si="20"/>
        <v>84</v>
      </c>
      <c r="B103" s="25">
        <f>A103*'3 Node Calculations'!$G$7</f>
        <v>1.68</v>
      </c>
      <c r="C103" s="21">
        <f>IF(AND(B103&gt;='1 Inputs'!$B$25,B102&lt;'1 Inputs'!$B$25),'3 Node Calculations'!$G$11,0)</f>
        <v>0</v>
      </c>
      <c r="D103" s="21">
        <f t="shared" si="21"/>
        <v>0.44166666666666665</v>
      </c>
      <c r="E103" s="21">
        <f t="shared" si="22"/>
        <v>3.9269908169872418</v>
      </c>
      <c r="F103" s="21">
        <f t="shared" si="16"/>
        <v>4.3686574836539087</v>
      </c>
      <c r="G103" s="21">
        <f t="shared" si="23"/>
        <v>0.47123889803846902</v>
      </c>
      <c r="H103" s="21">
        <f t="shared" si="17"/>
        <v>3.8974185856154397</v>
      </c>
      <c r="I103" s="22">
        <f t="shared" si="18"/>
        <v>0.10786812649004672</v>
      </c>
      <c r="J103" s="26">
        <f>J102+C103*'2 Steam Properties'!$B$13</f>
        <v>1315.9078013594515</v>
      </c>
      <c r="K103" s="25">
        <f t="shared" si="19"/>
        <v>301.21560371421867</v>
      </c>
      <c r="L103" s="25">
        <f>K103/'1 Inputs'!$B$10</f>
        <v>71.957860419068012</v>
      </c>
      <c r="M103" s="27">
        <f>J102+C103*'2 Steam Properties'!$B$13-J103</f>
        <v>0</v>
      </c>
    </row>
    <row r="104" spans="1:13" x14ac:dyDescent="0.2">
      <c r="A104" s="28">
        <f t="shared" si="20"/>
        <v>85</v>
      </c>
      <c r="B104" s="25">
        <f>A104*'3 Node Calculations'!$G$7</f>
        <v>1.7</v>
      </c>
      <c r="C104" s="21">
        <f>IF(AND(B104&gt;='1 Inputs'!$B$25,B103&lt;'1 Inputs'!$B$25),'3 Node Calculations'!$G$11,0)</f>
        <v>0</v>
      </c>
      <c r="D104" s="21">
        <f t="shared" si="21"/>
        <v>0.44166666666666665</v>
      </c>
      <c r="E104" s="21">
        <f t="shared" si="22"/>
        <v>3.9269908169872418</v>
      </c>
      <c r="F104" s="21">
        <f t="shared" si="16"/>
        <v>4.3686574836539087</v>
      </c>
      <c r="G104" s="21">
        <f t="shared" si="23"/>
        <v>0.47123889803846902</v>
      </c>
      <c r="H104" s="21">
        <f t="shared" si="17"/>
        <v>3.8974185856154397</v>
      </c>
      <c r="I104" s="22">
        <f t="shared" si="18"/>
        <v>0.10786812649004672</v>
      </c>
      <c r="J104" s="26">
        <f>J103+C104*'2 Steam Properties'!$B$13</f>
        <v>1315.9078013594515</v>
      </c>
      <c r="K104" s="25">
        <f t="shared" si="19"/>
        <v>301.21560371421867</v>
      </c>
      <c r="L104" s="25">
        <f>K104/'1 Inputs'!$B$10</f>
        <v>71.957860419068012</v>
      </c>
      <c r="M104" s="27">
        <f>J103+C104*'2 Steam Properties'!$B$13-J104</f>
        <v>0</v>
      </c>
    </row>
    <row r="105" spans="1:13" x14ac:dyDescent="0.2">
      <c r="A105" s="28">
        <f t="shared" si="20"/>
        <v>86</v>
      </c>
      <c r="B105" s="25">
        <f>A105*'3 Node Calculations'!$G$7</f>
        <v>1.72</v>
      </c>
      <c r="C105" s="21">
        <f>IF(AND(B105&gt;='1 Inputs'!$B$25,B104&lt;'1 Inputs'!$B$25),'3 Node Calculations'!$G$11,0)</f>
        <v>0</v>
      </c>
      <c r="D105" s="21">
        <f t="shared" si="21"/>
        <v>0.44166666666666665</v>
      </c>
      <c r="E105" s="21">
        <f t="shared" si="22"/>
        <v>3.9269908169872418</v>
      </c>
      <c r="F105" s="21">
        <f t="shared" si="16"/>
        <v>4.3686574836539087</v>
      </c>
      <c r="G105" s="21">
        <f t="shared" si="23"/>
        <v>0.47123889803846902</v>
      </c>
      <c r="H105" s="21">
        <f t="shared" si="17"/>
        <v>3.8974185856154397</v>
      </c>
      <c r="I105" s="22">
        <f t="shared" si="18"/>
        <v>0.10786812649004672</v>
      </c>
      <c r="J105" s="26">
        <f>J104+C105*'2 Steam Properties'!$B$13</f>
        <v>1315.9078013594515</v>
      </c>
      <c r="K105" s="25">
        <f t="shared" si="19"/>
        <v>301.21560371421867</v>
      </c>
      <c r="L105" s="25">
        <f>K105/'1 Inputs'!$B$10</f>
        <v>71.957860419068012</v>
      </c>
      <c r="M105" s="27">
        <f>J104+C105*'2 Steam Properties'!$B$13-J105</f>
        <v>0</v>
      </c>
    </row>
    <row r="106" spans="1:13" x14ac:dyDescent="0.2">
      <c r="A106" s="28">
        <f t="shared" si="20"/>
        <v>87</v>
      </c>
      <c r="B106" s="25">
        <f>A106*'3 Node Calculations'!$G$7</f>
        <v>1.74</v>
      </c>
      <c r="C106" s="21">
        <f>IF(AND(B106&gt;='1 Inputs'!$B$25,B105&lt;'1 Inputs'!$B$25),'3 Node Calculations'!$G$11,0)</f>
        <v>0</v>
      </c>
      <c r="D106" s="21">
        <f t="shared" si="21"/>
        <v>0.44166666666666665</v>
      </c>
      <c r="E106" s="21">
        <f t="shared" si="22"/>
        <v>3.9269908169872418</v>
      </c>
      <c r="F106" s="21">
        <f t="shared" si="16"/>
        <v>4.3686574836539087</v>
      </c>
      <c r="G106" s="21">
        <f t="shared" si="23"/>
        <v>0.47123889803846902</v>
      </c>
      <c r="H106" s="21">
        <f t="shared" si="17"/>
        <v>3.8974185856154397</v>
      </c>
      <c r="I106" s="22">
        <f t="shared" si="18"/>
        <v>0.10786812649004672</v>
      </c>
      <c r="J106" s="26">
        <f>J105+C106*'2 Steam Properties'!$B$13</f>
        <v>1315.9078013594515</v>
      </c>
      <c r="K106" s="25">
        <f t="shared" si="19"/>
        <v>301.21560371421867</v>
      </c>
      <c r="L106" s="25">
        <f>K106/'1 Inputs'!$B$10</f>
        <v>71.957860419068012</v>
      </c>
      <c r="M106" s="27">
        <f>J105+C106*'2 Steam Properties'!$B$13-J106</f>
        <v>0</v>
      </c>
    </row>
    <row r="107" spans="1:13" x14ac:dyDescent="0.2">
      <c r="A107" s="28">
        <f t="shared" si="20"/>
        <v>88</v>
      </c>
      <c r="B107" s="25">
        <f>A107*'3 Node Calculations'!$G$7</f>
        <v>1.76</v>
      </c>
      <c r="C107" s="21">
        <f>IF(AND(B107&gt;='1 Inputs'!$B$25,B106&lt;'1 Inputs'!$B$25),'3 Node Calculations'!$G$11,0)</f>
        <v>0</v>
      </c>
      <c r="D107" s="21">
        <f t="shared" si="21"/>
        <v>0.44166666666666665</v>
      </c>
      <c r="E107" s="21">
        <f t="shared" si="22"/>
        <v>3.9269908169872418</v>
      </c>
      <c r="F107" s="21">
        <f t="shared" si="16"/>
        <v>4.3686574836539087</v>
      </c>
      <c r="G107" s="21">
        <f t="shared" si="23"/>
        <v>0.47123889803846902</v>
      </c>
      <c r="H107" s="21">
        <f t="shared" si="17"/>
        <v>3.8974185856154397</v>
      </c>
      <c r="I107" s="22">
        <f t="shared" si="18"/>
        <v>0.10786812649004672</v>
      </c>
      <c r="J107" s="26">
        <f>J106+C107*'2 Steam Properties'!$B$13</f>
        <v>1315.9078013594515</v>
      </c>
      <c r="K107" s="25">
        <f t="shared" si="19"/>
        <v>301.21560371421867</v>
      </c>
      <c r="L107" s="25">
        <f>K107/'1 Inputs'!$B$10</f>
        <v>71.957860419068012</v>
      </c>
      <c r="M107" s="27">
        <f>J106+C107*'2 Steam Properties'!$B$13-J107</f>
        <v>0</v>
      </c>
    </row>
    <row r="108" spans="1:13" x14ac:dyDescent="0.2">
      <c r="A108" s="28">
        <f t="shared" si="20"/>
        <v>89</v>
      </c>
      <c r="B108" s="25">
        <f>A108*'3 Node Calculations'!$G$7</f>
        <v>1.78</v>
      </c>
      <c r="C108" s="21">
        <f>IF(AND(B108&gt;='1 Inputs'!$B$25,B107&lt;'1 Inputs'!$B$25),'3 Node Calculations'!$G$11,0)</f>
        <v>0</v>
      </c>
      <c r="D108" s="21">
        <f t="shared" si="21"/>
        <v>0.44166666666666665</v>
      </c>
      <c r="E108" s="21">
        <f t="shared" si="22"/>
        <v>3.9269908169872418</v>
      </c>
      <c r="F108" s="21">
        <f t="shared" si="16"/>
        <v>4.3686574836539087</v>
      </c>
      <c r="G108" s="21">
        <f t="shared" si="23"/>
        <v>0.47123889803846902</v>
      </c>
      <c r="H108" s="21">
        <f t="shared" si="17"/>
        <v>3.8974185856154397</v>
      </c>
      <c r="I108" s="22">
        <f t="shared" si="18"/>
        <v>0.10786812649004672</v>
      </c>
      <c r="J108" s="26">
        <f>J107+C108*'2 Steam Properties'!$B$13</f>
        <v>1315.9078013594515</v>
      </c>
      <c r="K108" s="25">
        <f t="shared" si="19"/>
        <v>301.21560371421867</v>
      </c>
      <c r="L108" s="25">
        <f>K108/'1 Inputs'!$B$10</f>
        <v>71.957860419068012</v>
      </c>
      <c r="M108" s="27">
        <f>J107+C108*'2 Steam Properties'!$B$13-J108</f>
        <v>0</v>
      </c>
    </row>
    <row r="109" spans="1:13" x14ac:dyDescent="0.2">
      <c r="A109" s="28">
        <f t="shared" si="20"/>
        <v>90</v>
      </c>
      <c r="B109" s="25">
        <f>A109*'3 Node Calculations'!$G$7</f>
        <v>1.8</v>
      </c>
      <c r="C109" s="21">
        <f>IF(AND(B109&gt;='1 Inputs'!$B$25,B108&lt;'1 Inputs'!$B$25),'3 Node Calculations'!$G$11,0)</f>
        <v>0</v>
      </c>
      <c r="D109" s="21">
        <f t="shared" si="21"/>
        <v>0.44166666666666665</v>
      </c>
      <c r="E109" s="21">
        <f t="shared" si="22"/>
        <v>3.9269908169872418</v>
      </c>
      <c r="F109" s="21">
        <f t="shared" si="16"/>
        <v>4.3686574836539087</v>
      </c>
      <c r="G109" s="21">
        <f t="shared" si="23"/>
        <v>0.47123889803846902</v>
      </c>
      <c r="H109" s="21">
        <f t="shared" si="17"/>
        <v>3.8974185856154397</v>
      </c>
      <c r="I109" s="22">
        <f t="shared" si="18"/>
        <v>0.10786812649004672</v>
      </c>
      <c r="J109" s="26">
        <f>J108+C109*'2 Steam Properties'!$B$13</f>
        <v>1315.9078013594515</v>
      </c>
      <c r="K109" s="25">
        <f t="shared" si="19"/>
        <v>301.21560371421867</v>
      </c>
      <c r="L109" s="25">
        <f>K109/'1 Inputs'!$B$10</f>
        <v>71.957860419068012</v>
      </c>
      <c r="M109" s="27">
        <f>J108+C109*'2 Steam Properties'!$B$13-J109</f>
        <v>0</v>
      </c>
    </row>
    <row r="110" spans="1:13" x14ac:dyDescent="0.2">
      <c r="A110" s="28">
        <f t="shared" si="20"/>
        <v>91</v>
      </c>
      <c r="B110" s="25">
        <f>A110*'3 Node Calculations'!$G$7</f>
        <v>1.82</v>
      </c>
      <c r="C110" s="21">
        <f>IF(AND(B110&gt;='1 Inputs'!$B$25,B109&lt;'1 Inputs'!$B$25),'3 Node Calculations'!$G$11,0)</f>
        <v>0</v>
      </c>
      <c r="D110" s="21">
        <f t="shared" si="21"/>
        <v>0.44166666666666665</v>
      </c>
      <c r="E110" s="21">
        <f t="shared" si="22"/>
        <v>3.9269908169872418</v>
      </c>
      <c r="F110" s="21">
        <f t="shared" si="16"/>
        <v>4.3686574836539087</v>
      </c>
      <c r="G110" s="21">
        <f t="shared" si="23"/>
        <v>0.47123889803846902</v>
      </c>
      <c r="H110" s="21">
        <f t="shared" si="17"/>
        <v>3.8974185856154397</v>
      </c>
      <c r="I110" s="22">
        <f t="shared" si="18"/>
        <v>0.10786812649004672</v>
      </c>
      <c r="J110" s="26">
        <f>J109+C110*'2 Steam Properties'!$B$13</f>
        <v>1315.9078013594515</v>
      </c>
      <c r="K110" s="25">
        <f t="shared" si="19"/>
        <v>301.21560371421867</v>
      </c>
      <c r="L110" s="25">
        <f>K110/'1 Inputs'!$B$10</f>
        <v>71.957860419068012</v>
      </c>
      <c r="M110" s="27">
        <f>J109+C110*'2 Steam Properties'!$B$13-J110</f>
        <v>0</v>
      </c>
    </row>
    <row r="111" spans="1:13" x14ac:dyDescent="0.2">
      <c r="A111" s="28">
        <f t="shared" si="20"/>
        <v>92</v>
      </c>
      <c r="B111" s="25">
        <f>A111*'3 Node Calculations'!$G$7</f>
        <v>1.84</v>
      </c>
      <c r="C111" s="21">
        <f>IF(AND(B111&gt;='1 Inputs'!$B$25,B110&lt;'1 Inputs'!$B$25),'3 Node Calculations'!$G$11,0)</f>
        <v>0</v>
      </c>
      <c r="D111" s="21">
        <f t="shared" si="21"/>
        <v>0.44166666666666665</v>
      </c>
      <c r="E111" s="21">
        <f t="shared" si="22"/>
        <v>3.9269908169872418</v>
      </c>
      <c r="F111" s="21">
        <f t="shared" si="16"/>
        <v>4.3686574836539087</v>
      </c>
      <c r="G111" s="21">
        <f t="shared" si="23"/>
        <v>0.47123889803846902</v>
      </c>
      <c r="H111" s="21">
        <f t="shared" si="17"/>
        <v>3.8974185856154397</v>
      </c>
      <c r="I111" s="22">
        <f t="shared" si="18"/>
        <v>0.10786812649004672</v>
      </c>
      <c r="J111" s="26">
        <f>J110+C111*'2 Steam Properties'!$B$13</f>
        <v>1315.9078013594515</v>
      </c>
      <c r="K111" s="25">
        <f t="shared" si="19"/>
        <v>301.21560371421867</v>
      </c>
      <c r="L111" s="25">
        <f>K111/'1 Inputs'!$B$10</f>
        <v>71.957860419068012</v>
      </c>
      <c r="M111" s="27">
        <f>J110+C111*'2 Steam Properties'!$B$13-J111</f>
        <v>0</v>
      </c>
    </row>
    <row r="112" spans="1:13" x14ac:dyDescent="0.2">
      <c r="A112" s="28">
        <f t="shared" si="20"/>
        <v>93</v>
      </c>
      <c r="B112" s="25">
        <f>A112*'3 Node Calculations'!$G$7</f>
        <v>1.86</v>
      </c>
      <c r="C112" s="21">
        <f>IF(AND(B112&gt;='1 Inputs'!$B$25,B111&lt;'1 Inputs'!$B$25),'3 Node Calculations'!$G$11,0)</f>
        <v>0</v>
      </c>
      <c r="D112" s="21">
        <f t="shared" si="21"/>
        <v>0.44166666666666665</v>
      </c>
      <c r="E112" s="21">
        <f t="shared" si="22"/>
        <v>3.9269908169872418</v>
      </c>
      <c r="F112" s="21">
        <f t="shared" si="16"/>
        <v>4.3686574836539087</v>
      </c>
      <c r="G112" s="21">
        <f t="shared" si="23"/>
        <v>0.47123889803846902</v>
      </c>
      <c r="H112" s="21">
        <f t="shared" si="17"/>
        <v>3.8974185856154397</v>
      </c>
      <c r="I112" s="22">
        <f t="shared" si="18"/>
        <v>0.10786812649004672</v>
      </c>
      <c r="J112" s="26">
        <f>J111+C112*'2 Steam Properties'!$B$13</f>
        <v>1315.9078013594515</v>
      </c>
      <c r="K112" s="25">
        <f t="shared" si="19"/>
        <v>301.21560371421867</v>
      </c>
      <c r="L112" s="25">
        <f>K112/'1 Inputs'!$B$10</f>
        <v>71.957860419068012</v>
      </c>
      <c r="M112" s="27">
        <f>J111+C112*'2 Steam Properties'!$B$13-J112</f>
        <v>0</v>
      </c>
    </row>
    <row r="113" spans="1:13" x14ac:dyDescent="0.2">
      <c r="A113" s="28">
        <f t="shared" si="20"/>
        <v>94</v>
      </c>
      <c r="B113" s="25">
        <f>A113*'3 Node Calculations'!$G$7</f>
        <v>1.8800000000000001</v>
      </c>
      <c r="C113" s="21">
        <f>IF(AND(B113&gt;='1 Inputs'!$B$25,B112&lt;'1 Inputs'!$B$25),'3 Node Calculations'!$G$11,0)</f>
        <v>0</v>
      </c>
      <c r="D113" s="21">
        <f t="shared" si="21"/>
        <v>0.44166666666666665</v>
      </c>
      <c r="E113" s="21">
        <f t="shared" si="22"/>
        <v>3.9269908169872418</v>
      </c>
      <c r="F113" s="21">
        <f t="shared" si="16"/>
        <v>4.3686574836539087</v>
      </c>
      <c r="G113" s="21">
        <f t="shared" si="23"/>
        <v>0.47123889803846902</v>
      </c>
      <c r="H113" s="21">
        <f t="shared" si="17"/>
        <v>3.8974185856154397</v>
      </c>
      <c r="I113" s="22">
        <f t="shared" si="18"/>
        <v>0.10786812649004672</v>
      </c>
      <c r="J113" s="26">
        <f>J112+C113*'2 Steam Properties'!$B$13</f>
        <v>1315.9078013594515</v>
      </c>
      <c r="K113" s="25">
        <f t="shared" si="19"/>
        <v>301.21560371421867</v>
      </c>
      <c r="L113" s="25">
        <f>K113/'1 Inputs'!$B$10</f>
        <v>71.957860419068012</v>
      </c>
      <c r="M113" s="27">
        <f>J112+C113*'2 Steam Properties'!$B$13-J113</f>
        <v>0</v>
      </c>
    </row>
    <row r="114" spans="1:13" x14ac:dyDescent="0.2">
      <c r="A114" s="28">
        <f t="shared" si="20"/>
        <v>95</v>
      </c>
      <c r="B114" s="25">
        <f>A114*'3 Node Calculations'!$G$7</f>
        <v>1.9000000000000001</v>
      </c>
      <c r="C114" s="21">
        <f>IF(AND(B114&gt;='1 Inputs'!$B$25,B113&lt;'1 Inputs'!$B$25),'3 Node Calculations'!$G$11,0)</f>
        <v>0</v>
      </c>
      <c r="D114" s="21">
        <f t="shared" si="21"/>
        <v>0.44166666666666665</v>
      </c>
      <c r="E114" s="21">
        <f t="shared" si="22"/>
        <v>3.9269908169872418</v>
      </c>
      <c r="F114" s="21">
        <f t="shared" si="16"/>
        <v>4.3686574836539087</v>
      </c>
      <c r="G114" s="21">
        <f t="shared" si="23"/>
        <v>0.47123889803846902</v>
      </c>
      <c r="H114" s="21">
        <f t="shared" si="17"/>
        <v>3.8974185856154397</v>
      </c>
      <c r="I114" s="22">
        <f t="shared" si="18"/>
        <v>0.10786812649004672</v>
      </c>
      <c r="J114" s="26">
        <f>J113+C114*'2 Steam Properties'!$B$13</f>
        <v>1315.9078013594515</v>
      </c>
      <c r="K114" s="25">
        <f t="shared" si="19"/>
        <v>301.21560371421867</v>
      </c>
      <c r="L114" s="25">
        <f>K114/'1 Inputs'!$B$10</f>
        <v>71.957860419068012</v>
      </c>
      <c r="M114" s="27">
        <f>J113+C114*'2 Steam Properties'!$B$13-J114</f>
        <v>0</v>
      </c>
    </row>
    <row r="115" spans="1:13" x14ac:dyDescent="0.2">
      <c r="A115" s="28">
        <f t="shared" si="20"/>
        <v>96</v>
      </c>
      <c r="B115" s="25">
        <f>A115*'3 Node Calculations'!$G$7</f>
        <v>1.92</v>
      </c>
      <c r="C115" s="21">
        <f>IF(AND(B115&gt;='1 Inputs'!$B$25,B114&lt;'1 Inputs'!$B$25),'3 Node Calculations'!$G$11,0)</f>
        <v>0</v>
      </c>
      <c r="D115" s="21">
        <f t="shared" si="21"/>
        <v>0.44166666666666665</v>
      </c>
      <c r="E115" s="21">
        <f t="shared" si="22"/>
        <v>3.9269908169872418</v>
      </c>
      <c r="F115" s="21">
        <f t="shared" ref="F115:F119" si="24">E115+D115</f>
        <v>4.3686574836539087</v>
      </c>
      <c r="G115" s="21">
        <f t="shared" si="23"/>
        <v>0.47123889803846902</v>
      </c>
      <c r="H115" s="21">
        <f t="shared" ref="H115:H119" si="25">F115-G115</f>
        <v>3.8974185856154397</v>
      </c>
      <c r="I115" s="22">
        <f t="shared" si="18"/>
        <v>0.10786812649004672</v>
      </c>
      <c r="J115" s="26">
        <f>J114+C115*'2 Steam Properties'!$B$13</f>
        <v>1315.9078013594515</v>
      </c>
      <c r="K115" s="25">
        <f t="shared" ref="K115:K119" si="26">J115/F115</f>
        <v>301.21560371421867</v>
      </c>
      <c r="L115" s="25">
        <f>K115/'1 Inputs'!$B$10</f>
        <v>71.957860419068012</v>
      </c>
      <c r="M115" s="27">
        <f>J114+C115*'2 Steam Properties'!$B$13-J115</f>
        <v>0</v>
      </c>
    </row>
    <row r="116" spans="1:13" x14ac:dyDescent="0.2">
      <c r="A116" s="28">
        <f t="shared" si="20"/>
        <v>97</v>
      </c>
      <c r="B116" s="25">
        <f>A116*'3 Node Calculations'!$G$7</f>
        <v>1.94</v>
      </c>
      <c r="C116" s="21">
        <f>IF(AND(B116&gt;='1 Inputs'!$B$25,B115&lt;'1 Inputs'!$B$25),'3 Node Calculations'!$G$11,0)</f>
        <v>0</v>
      </c>
      <c r="D116" s="21">
        <f t="shared" ref="D116:D119" si="27">D115+C116</f>
        <v>0.44166666666666665</v>
      </c>
      <c r="E116" s="21">
        <f t="shared" si="22"/>
        <v>3.9269908169872418</v>
      </c>
      <c r="F116" s="21">
        <f t="shared" si="24"/>
        <v>4.3686574836539087</v>
      </c>
      <c r="G116" s="21">
        <f t="shared" si="23"/>
        <v>0.47123889803846902</v>
      </c>
      <c r="H116" s="21">
        <f t="shared" si="25"/>
        <v>3.8974185856154397</v>
      </c>
      <c r="I116" s="22">
        <f t="shared" si="18"/>
        <v>0.10786812649004672</v>
      </c>
      <c r="J116" s="26">
        <f>J115+C116*'2 Steam Properties'!$B$13</f>
        <v>1315.9078013594515</v>
      </c>
      <c r="K116" s="25">
        <f t="shared" si="26"/>
        <v>301.21560371421867</v>
      </c>
      <c r="L116" s="25">
        <f>K116/'1 Inputs'!$B$10</f>
        <v>71.957860419068012</v>
      </c>
      <c r="M116" s="27">
        <f>J115+C116*'2 Steam Properties'!$B$13-J116</f>
        <v>0</v>
      </c>
    </row>
    <row r="117" spans="1:13" x14ac:dyDescent="0.2">
      <c r="A117" s="28">
        <f t="shared" si="20"/>
        <v>98</v>
      </c>
      <c r="B117" s="25">
        <f>A117*'3 Node Calculations'!$G$7</f>
        <v>1.96</v>
      </c>
      <c r="C117" s="21">
        <f>IF(AND(B117&gt;='1 Inputs'!$B$25,B116&lt;'1 Inputs'!$B$25),'3 Node Calculations'!$G$11,0)</f>
        <v>0</v>
      </c>
      <c r="D117" s="21">
        <f t="shared" si="27"/>
        <v>0.44166666666666665</v>
      </c>
      <c r="E117" s="21">
        <f t="shared" si="22"/>
        <v>3.9269908169872418</v>
      </c>
      <c r="F117" s="21">
        <f t="shared" si="24"/>
        <v>4.3686574836539087</v>
      </c>
      <c r="G117" s="21">
        <f t="shared" si="23"/>
        <v>0.47123889803846902</v>
      </c>
      <c r="H117" s="21">
        <f t="shared" si="25"/>
        <v>3.8974185856154397</v>
      </c>
      <c r="I117" s="22">
        <f t="shared" si="18"/>
        <v>0.10786812649004672</v>
      </c>
      <c r="J117" s="26">
        <f>J116+C117*'2 Steam Properties'!$B$13</f>
        <v>1315.9078013594515</v>
      </c>
      <c r="K117" s="25">
        <f t="shared" si="26"/>
        <v>301.21560371421867</v>
      </c>
      <c r="L117" s="25">
        <f>K117/'1 Inputs'!$B$10</f>
        <v>71.957860419068012</v>
      </c>
      <c r="M117" s="27">
        <f>J116+C117*'2 Steam Properties'!$B$13-J117</f>
        <v>0</v>
      </c>
    </row>
    <row r="118" spans="1:13" x14ac:dyDescent="0.2">
      <c r="A118" s="28">
        <f t="shared" si="20"/>
        <v>99</v>
      </c>
      <c r="B118" s="25">
        <f>A118*'3 Node Calculations'!$G$7</f>
        <v>1.98</v>
      </c>
      <c r="C118" s="21">
        <f>IF(AND(B118&gt;='1 Inputs'!$B$25,B117&lt;'1 Inputs'!$B$25),'3 Node Calculations'!$G$11,0)</f>
        <v>0</v>
      </c>
      <c r="D118" s="21">
        <f t="shared" si="27"/>
        <v>0.44166666666666665</v>
      </c>
      <c r="E118" s="21">
        <f t="shared" si="22"/>
        <v>3.9269908169872418</v>
      </c>
      <c r="F118" s="21">
        <f t="shared" si="24"/>
        <v>4.3686574836539087</v>
      </c>
      <c r="G118" s="21">
        <f t="shared" si="23"/>
        <v>0.47123889803846902</v>
      </c>
      <c r="H118" s="21">
        <f t="shared" si="25"/>
        <v>3.8974185856154397</v>
      </c>
      <c r="I118" s="22">
        <f t="shared" si="18"/>
        <v>0.10786812649004672</v>
      </c>
      <c r="J118" s="26">
        <f>J117+C118*'2 Steam Properties'!$B$13</f>
        <v>1315.9078013594515</v>
      </c>
      <c r="K118" s="25">
        <f t="shared" si="26"/>
        <v>301.21560371421867</v>
      </c>
      <c r="L118" s="25">
        <f>K118/'1 Inputs'!$B$10</f>
        <v>71.957860419068012</v>
      </c>
      <c r="M118" s="27">
        <f>J117+C118*'2 Steam Properties'!$B$13-J118</f>
        <v>0</v>
      </c>
    </row>
    <row r="119" spans="1:13" x14ac:dyDescent="0.2">
      <c r="A119" s="28">
        <f t="shared" si="20"/>
        <v>100</v>
      </c>
      <c r="B119" s="25">
        <f>A119*'3 Node Calculations'!$G$7</f>
        <v>2</v>
      </c>
      <c r="C119" s="21">
        <f>IF(AND(B119&gt;='1 Inputs'!$B$25,B118&lt;'1 Inputs'!$B$25),'3 Node Calculations'!$G$11,0)</f>
        <v>0</v>
      </c>
      <c r="D119" s="21">
        <f t="shared" si="27"/>
        <v>0.44166666666666665</v>
      </c>
      <c r="E119" s="21">
        <f t="shared" si="22"/>
        <v>3.9269908169872418</v>
      </c>
      <c r="F119" s="21">
        <f t="shared" si="24"/>
        <v>4.3686574836539087</v>
      </c>
      <c r="G119" s="21">
        <f t="shared" si="23"/>
        <v>0.47123889803846902</v>
      </c>
      <c r="H119" s="21">
        <f t="shared" si="25"/>
        <v>3.8974185856154397</v>
      </c>
      <c r="I119" s="22">
        <f t="shared" si="18"/>
        <v>0.10786812649004672</v>
      </c>
      <c r="J119" s="26">
        <f>J118+C119*'2 Steam Properties'!$B$13</f>
        <v>1315.9078013594515</v>
      </c>
      <c r="K119" s="25">
        <f t="shared" si="26"/>
        <v>301.21560371421867</v>
      </c>
      <c r="L119" s="25">
        <f>K119/'1 Inputs'!$B$10</f>
        <v>71.957860419068012</v>
      </c>
      <c r="M119" s="27">
        <f>J118+C119*'2 Steam Properties'!$B$13-J119</f>
        <v>0</v>
      </c>
    </row>
    <row r="121" spans="1:13" x14ac:dyDescent="0.2">
      <c r="A121" s="6" t="s">
        <v>311</v>
      </c>
    </row>
    <row r="122" spans="1:13" x14ac:dyDescent="0.2">
      <c r="A122" s="6" t="s">
        <v>126</v>
      </c>
    </row>
    <row r="123" spans="1:13" x14ac:dyDescent="0.2">
      <c r="A123" s="6" t="s">
        <v>127</v>
      </c>
    </row>
    <row r="124" spans="1:13" x14ac:dyDescent="0.2">
      <c r="A124" s="6" t="s">
        <v>128</v>
      </c>
    </row>
    <row r="125" spans="1:13" x14ac:dyDescent="0.2">
      <c r="A125" s="6" t="s">
        <v>129</v>
      </c>
    </row>
    <row r="126" spans="1:13" x14ac:dyDescent="0.2">
      <c r="A126" s="6" t="s">
        <v>130</v>
      </c>
    </row>
    <row r="127" spans="1:13" x14ac:dyDescent="0.2">
      <c r="A127" s="6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"/>
  <sheetViews>
    <sheetView showGridLines="0" zoomScale="125" zoomScaleNormal="100" workbookViewId="0">
      <selection activeCell="D12" sqref="D12"/>
    </sheetView>
  </sheetViews>
  <sheetFormatPr baseColWidth="10" defaultColWidth="8.6640625" defaultRowHeight="15" x14ac:dyDescent="0.2"/>
  <cols>
    <col min="1" max="1" width="50" style="2" customWidth="1"/>
    <col min="2" max="2" width="13" style="2" customWidth="1"/>
    <col min="3" max="3" width="11" style="2" customWidth="1"/>
    <col min="4" max="4" width="60" style="2" customWidth="1"/>
    <col min="5" max="5" width="8.6640625" style="2" customWidth="1"/>
    <col min="6" max="16384" width="8.6640625" style="2"/>
  </cols>
  <sheetData>
    <row r="1" spans="1:4" ht="16" customHeight="1" x14ac:dyDescent="0.2">
      <c r="A1" s="1" t="s">
        <v>132</v>
      </c>
      <c r="C1" s="3"/>
      <c r="D1" s="4"/>
    </row>
    <row r="2" spans="1:4" x14ac:dyDescent="0.2">
      <c r="A2" s="5"/>
      <c r="C2" s="3"/>
      <c r="D2" s="4"/>
    </row>
    <row r="4" spans="1:4" ht="15.75" customHeight="1" x14ac:dyDescent="0.2">
      <c r="A4" s="7" t="s">
        <v>133</v>
      </c>
    </row>
    <row r="5" spans="1:4" x14ac:dyDescent="0.2">
      <c r="A5" s="8" t="s">
        <v>134</v>
      </c>
      <c r="B5" s="8" t="s">
        <v>3</v>
      </c>
      <c r="C5" s="8" t="s">
        <v>4</v>
      </c>
      <c r="D5" s="8" t="s">
        <v>135</v>
      </c>
    </row>
    <row r="6" spans="1:4" x14ac:dyDescent="0.2">
      <c r="A6" s="9" t="s">
        <v>136</v>
      </c>
      <c r="B6" s="25">
        <f>'3 Node Calculations'!$L$119</f>
        <v>71.957860419068012</v>
      </c>
      <c r="C6" s="4" t="s">
        <v>137</v>
      </c>
      <c r="D6" s="11" t="s">
        <v>138</v>
      </c>
    </row>
    <row r="7" spans="1:4" x14ac:dyDescent="0.2">
      <c r="A7" s="9" t="s">
        <v>139</v>
      </c>
      <c r="B7" s="25">
        <f>'3 Node Calculations'!$L$119-'1 Inputs'!$B$8</f>
        <v>65.957860419068012</v>
      </c>
      <c r="C7" s="4" t="s">
        <v>137</v>
      </c>
      <c r="D7" s="11" t="s">
        <v>140</v>
      </c>
    </row>
    <row r="8" spans="1:4" x14ac:dyDescent="0.2">
      <c r="A8" s="9" t="s">
        <v>141</v>
      </c>
      <c r="B8" s="21">
        <f>'3 Node Calculations'!$F$119</f>
        <v>4.3686574836539087</v>
      </c>
      <c r="C8" s="4" t="s">
        <v>105</v>
      </c>
      <c r="D8" s="11" t="s">
        <v>142</v>
      </c>
    </row>
    <row r="9" spans="1:4" x14ac:dyDescent="0.2">
      <c r="A9" s="9" t="s">
        <v>141</v>
      </c>
      <c r="B9" s="16">
        <f>'3 Node Calculations'!$F$119*3600</f>
        <v>15727.166941154072</v>
      </c>
      <c r="C9" s="4" t="s">
        <v>22</v>
      </c>
      <c r="D9" s="11"/>
    </row>
    <row r="10" spans="1:4" x14ac:dyDescent="0.2">
      <c r="A10" s="9" t="s">
        <v>143</v>
      </c>
      <c r="B10" s="22">
        <f>'3 Node Calculations'!$I$119</f>
        <v>0.10786812649004672</v>
      </c>
      <c r="C10" s="4" t="s">
        <v>13</v>
      </c>
      <c r="D10" s="11"/>
    </row>
    <row r="11" spans="1:4" ht="25.5" customHeight="1" x14ac:dyDescent="0.2">
      <c r="A11" s="9" t="s">
        <v>144</v>
      </c>
      <c r="B11" s="26">
        <f>'3 Node Calculations'!$F$119/('1 Inputs'!$B$11*'3 Node Calculations'!$G$8)</f>
        <v>2.2249389862365456</v>
      </c>
      <c r="C11" s="4" t="s">
        <v>7</v>
      </c>
      <c r="D11" s="11"/>
    </row>
    <row r="12" spans="1:4" ht="37.5" customHeight="1" x14ac:dyDescent="0.2">
      <c r="A12" s="9" t="s">
        <v>145</v>
      </c>
      <c r="B12" s="23">
        <f>'3 Node Calculations'!$G$11*'2 Steam Properties'!$B$14/'3 Node Calculations'!$G$9</f>
        <v>7099.0744056253725</v>
      </c>
      <c r="C12" s="4" t="s">
        <v>7</v>
      </c>
      <c r="D12" s="11"/>
    </row>
    <row r="14" spans="1:4" ht="15.75" customHeight="1" x14ac:dyDescent="0.2">
      <c r="A14" s="7" t="s">
        <v>146</v>
      </c>
    </row>
    <row r="15" spans="1:4" x14ac:dyDescent="0.2">
      <c r="A15" s="8" t="s">
        <v>134</v>
      </c>
      <c r="B15" s="8" t="s">
        <v>3</v>
      </c>
      <c r="C15" s="8" t="s">
        <v>4</v>
      </c>
      <c r="D15" s="8" t="s">
        <v>135</v>
      </c>
    </row>
    <row r="16" spans="1:4" ht="25.5" customHeight="1" x14ac:dyDescent="0.2">
      <c r="A16" s="9" t="s">
        <v>147</v>
      </c>
      <c r="B16" s="21">
        <f>'3 Node Calculations'!$D$119</f>
        <v>0.44166666666666665</v>
      </c>
      <c r="C16" s="4" t="s">
        <v>105</v>
      </c>
      <c r="D16" s="11"/>
    </row>
    <row r="17" spans="1:4" x14ac:dyDescent="0.2">
      <c r="A17" s="9" t="s">
        <v>147</v>
      </c>
      <c r="B17" s="16">
        <f>'3 Node Calculations'!$D$119*3600</f>
        <v>1590</v>
      </c>
      <c r="C17" s="4" t="s">
        <v>22</v>
      </c>
      <c r="D17" s="11"/>
    </row>
    <row r="18" spans="1:4" x14ac:dyDescent="0.2">
      <c r="A18" s="9"/>
      <c r="B18" s="16"/>
      <c r="C18" s="4"/>
      <c r="D18" s="11"/>
    </row>
    <row r="19" spans="1:4" x14ac:dyDescent="0.2">
      <c r="A19" s="7" t="s">
        <v>148</v>
      </c>
    </row>
    <row r="20" spans="1:4" ht="15.75" customHeight="1" x14ac:dyDescent="0.2">
      <c r="A20" s="8" t="s">
        <v>134</v>
      </c>
      <c r="B20" s="8" t="s">
        <v>3</v>
      </c>
      <c r="C20" s="8" t="s">
        <v>4</v>
      </c>
      <c r="D20" s="8" t="s">
        <v>135</v>
      </c>
    </row>
    <row r="21" spans="1:4" x14ac:dyDescent="0.2">
      <c r="A21" s="9" t="s">
        <v>149</v>
      </c>
      <c r="B21" s="16">
        <f>'3 Node Calculations'!$F$119*3600-'3 Node Calculations'!$G$12/'1 Inputs'!$B$30*3600</f>
        <v>1590.0000000000018</v>
      </c>
      <c r="C21" s="4" t="s">
        <v>22</v>
      </c>
      <c r="D21" s="11" t="s">
        <v>150</v>
      </c>
    </row>
    <row r="22" spans="1:4" ht="25.5" customHeight="1" x14ac:dyDescent="0.2">
      <c r="A22" s="9" t="s">
        <v>151</v>
      </c>
      <c r="B22" s="21">
        <f>'3 Node Calculations'!$F$119-'3 Node Calculations'!$G$12/'1 Inputs'!$B$30</f>
        <v>0.44166666666666687</v>
      </c>
      <c r="C22" s="4" t="s">
        <v>105</v>
      </c>
      <c r="D22" s="11" t="s">
        <v>152</v>
      </c>
    </row>
    <row r="23" spans="1:4" ht="25.5" customHeight="1" x14ac:dyDescent="0.2"/>
    <row r="24" spans="1:4" x14ac:dyDescent="0.2">
      <c r="A24" s="7" t="s">
        <v>153</v>
      </c>
    </row>
    <row r="25" spans="1:4" x14ac:dyDescent="0.2">
      <c r="A25" s="8" t="s">
        <v>134</v>
      </c>
      <c r="B25" s="8" t="s">
        <v>3</v>
      </c>
      <c r="C25" s="8" t="s">
        <v>4</v>
      </c>
      <c r="D25" s="8" t="s">
        <v>135</v>
      </c>
    </row>
    <row r="26" spans="1:4" ht="15.75" customHeight="1" x14ac:dyDescent="0.2">
      <c r="A26" s="9" t="s">
        <v>154</v>
      </c>
      <c r="B26" s="26">
        <f>'3 Node Calculations'!$G$13</f>
        <v>98.630301359451565</v>
      </c>
      <c r="C26" s="4" t="s">
        <v>109</v>
      </c>
      <c r="D26" s="11" t="s">
        <v>155</v>
      </c>
    </row>
    <row r="27" spans="1:4" x14ac:dyDescent="0.2">
      <c r="A27" s="9" t="s">
        <v>156</v>
      </c>
      <c r="B27" s="26">
        <f>'3 Node Calculations'!$J$119</f>
        <v>1315.9078013594515</v>
      </c>
      <c r="C27" s="4" t="s">
        <v>109</v>
      </c>
      <c r="D27" s="11" t="s">
        <v>157</v>
      </c>
    </row>
    <row r="28" spans="1:4" x14ac:dyDescent="0.2">
      <c r="A28" s="9" t="s">
        <v>158</v>
      </c>
      <c r="B28" s="26">
        <f>'3 Node Calculations'!$G$11*'2 Steam Properties'!$B$13</f>
        <v>1217.2774999999999</v>
      </c>
      <c r="C28" s="4" t="s">
        <v>109</v>
      </c>
      <c r="D28" s="11" t="s">
        <v>159</v>
      </c>
    </row>
    <row r="29" spans="1:4" x14ac:dyDescent="0.2">
      <c r="A29" s="9" t="s">
        <v>160</v>
      </c>
      <c r="B29" s="26">
        <f>'3 Node Calculations'!$G$11*('2 Steam Properties'!$B$13-'1 Inputs'!$B$10*'3 Node Calculations'!$L$119)</f>
        <v>1084.2406083595533</v>
      </c>
      <c r="C29" s="4" t="s">
        <v>109</v>
      </c>
      <c r="D29" s="11" t="s">
        <v>161</v>
      </c>
    </row>
    <row r="30" spans="1:4" x14ac:dyDescent="0.2">
      <c r="A30" s="9" t="s">
        <v>162</v>
      </c>
      <c r="B30" s="26">
        <f>'3 Node Calculations'!$G$11*'2 Steam Properties'!$B$12</f>
        <v>921.13999999999987</v>
      </c>
      <c r="C30" s="4" t="s">
        <v>109</v>
      </c>
      <c r="D30" s="11" t="s">
        <v>163</v>
      </c>
    </row>
    <row r="31" spans="1:4" ht="25.5" customHeight="1" x14ac:dyDescent="0.2"/>
    <row r="32" spans="1:4" x14ac:dyDescent="0.2">
      <c r="A32" s="34" t="s">
        <v>164</v>
      </c>
    </row>
    <row r="33" spans="1:4" x14ac:dyDescent="0.2">
      <c r="A33" s="35" t="s">
        <v>165</v>
      </c>
      <c r="B33" s="35"/>
      <c r="C33" s="35"/>
      <c r="D33" s="35"/>
    </row>
    <row r="34" spans="1:4" ht="15.75" customHeight="1" x14ac:dyDescent="0.2">
      <c r="A34" s="8" t="s">
        <v>134</v>
      </c>
      <c r="B34" s="40" t="s">
        <v>3</v>
      </c>
      <c r="C34" s="35" t="s">
        <v>4</v>
      </c>
      <c r="D34" s="35" t="s">
        <v>135</v>
      </c>
    </row>
    <row r="35" spans="1:4" x14ac:dyDescent="0.2">
      <c r="A35" s="19" t="s">
        <v>166</v>
      </c>
      <c r="B35" s="36">
        <f>0.00002414*10^(247.8/(('1 Inputs'!$B$8+273.15)-140))</f>
        <v>1.4573012555215918E-3</v>
      </c>
      <c r="C35" s="8" t="s">
        <v>167</v>
      </c>
      <c r="D35" s="8" t="s">
        <v>168</v>
      </c>
    </row>
    <row r="36" spans="1:4" ht="25.5" customHeight="1" x14ac:dyDescent="0.2">
      <c r="A36" s="9" t="s">
        <v>169</v>
      </c>
      <c r="B36" s="41">
        <f>0.00002414*10^(247.8/(($B$6+273.15)-140))</f>
        <v>3.8983613275719755E-4</v>
      </c>
      <c r="C36" s="4" t="s">
        <v>167</v>
      </c>
      <c r="D36" s="11" t="s">
        <v>170</v>
      </c>
    </row>
    <row r="37" spans="1:4" ht="48.75" customHeight="1" x14ac:dyDescent="0.2">
      <c r="A37" s="9" t="s">
        <v>171</v>
      </c>
      <c r="B37" s="37">
        <f>'1 Inputs'!$B$11*'1 Inputs'!$B$6*'1 Inputs'!$B$24/$B$35</f>
        <v>68619.991660000582</v>
      </c>
      <c r="C37" s="4" t="s">
        <v>42</v>
      </c>
      <c r="D37" s="11" t="s">
        <v>172</v>
      </c>
    </row>
    <row r="38" spans="1:4" x14ac:dyDescent="0.2">
      <c r="A38" s="9" t="s">
        <v>173</v>
      </c>
      <c r="B38" s="37">
        <f>'1 Inputs'!$B$11*$B$11*'1 Inputs'!$B$24/$B$36</f>
        <v>285368.49194816797</v>
      </c>
      <c r="C38" s="4" t="s">
        <v>42</v>
      </c>
      <c r="D38" s="11" t="s">
        <v>174</v>
      </c>
    </row>
    <row r="39" spans="1:4" x14ac:dyDescent="0.2">
      <c r="A39" s="9" t="s">
        <v>175</v>
      </c>
      <c r="B39" s="24" t="str">
        <f>IF($B$37&lt;2300,"Laminar",IF($B$37&lt;4000,"Transitional","Turbulent"))</f>
        <v>Turbulent</v>
      </c>
      <c r="C39" s="4" t="s">
        <v>42</v>
      </c>
      <c r="D39" s="11" t="s">
        <v>176</v>
      </c>
    </row>
    <row r="40" spans="1:4" x14ac:dyDescent="0.2">
      <c r="A40" s="43" t="s">
        <v>177</v>
      </c>
      <c r="B40" s="49" t="str">
        <f>IF($B$38&lt;2300,"Laminar",IF($B$38&lt;4000,"Transitional","Turbulent"))</f>
        <v>Turbulent</v>
      </c>
      <c r="C40" s="49" t="s">
        <v>42</v>
      </c>
      <c r="D40" s="49" t="s">
        <v>178</v>
      </c>
    </row>
    <row r="41" spans="1:4" ht="15.75" customHeight="1" x14ac:dyDescent="0.2">
      <c r="A41" s="19"/>
    </row>
    <row r="42" spans="1:4" x14ac:dyDescent="0.2">
      <c r="A42" s="19"/>
      <c r="B42" s="8"/>
      <c r="C42" s="8"/>
      <c r="D42" s="8"/>
    </row>
    <row r="43" spans="1:4" x14ac:dyDescent="0.2">
      <c r="A43" s="38"/>
      <c r="B43" s="39"/>
      <c r="C43" s="30"/>
      <c r="D43" s="38"/>
    </row>
    <row r="44" spans="1:4" ht="25.5" customHeight="1" x14ac:dyDescent="0.2">
      <c r="A44" s="38" t="s">
        <v>179</v>
      </c>
      <c r="B44" s="29"/>
      <c r="C44" s="4"/>
      <c r="D44" s="11"/>
    </row>
    <row r="45" spans="1:4" ht="25.5" customHeight="1" x14ac:dyDescent="0.2">
      <c r="A45" s="38" t="s">
        <v>134</v>
      </c>
      <c r="B45" s="42" t="s">
        <v>3</v>
      </c>
      <c r="C45" s="30" t="s">
        <v>4</v>
      </c>
      <c r="D45" s="38" t="s">
        <v>135</v>
      </c>
    </row>
    <row r="46" spans="1:4" x14ac:dyDescent="0.2">
      <c r="A46" s="43" t="s">
        <v>298</v>
      </c>
      <c r="B46" s="44">
        <v>1.135</v>
      </c>
      <c r="C46" s="2" t="s">
        <v>42</v>
      </c>
      <c r="D46" s="2" t="s">
        <v>299</v>
      </c>
    </row>
    <row r="47" spans="1:4" x14ac:dyDescent="0.2">
      <c r="A47" s="43" t="s">
        <v>300</v>
      </c>
      <c r="B47" s="45">
        <f>'2 Steam Properties'!$B$14^-1</f>
        <v>3.1685678073510775</v>
      </c>
      <c r="C47" s="2" t="s">
        <v>19</v>
      </c>
      <c r="D47" s="2" t="s">
        <v>301</v>
      </c>
    </row>
    <row r="48" spans="1:4" x14ac:dyDescent="0.2">
      <c r="A48" s="43" t="s">
        <v>180</v>
      </c>
      <c r="B48" s="45">
        <f>'2 Steam Properties'!$B$10+273.15</f>
        <v>431.98</v>
      </c>
      <c r="C48" s="2" t="s">
        <v>181</v>
      </c>
      <c r="D48" s="2" t="s">
        <v>182</v>
      </c>
    </row>
    <row r="49" spans="1:4" x14ac:dyDescent="0.2">
      <c r="A49" s="43" t="s">
        <v>302</v>
      </c>
      <c r="B49" s="45">
        <f>SQRT($B$46*$B$51/$B$47*2/($B$46+1))</f>
        <v>448.70210957624579</v>
      </c>
      <c r="C49" s="2" t="s">
        <v>7</v>
      </c>
      <c r="D49" s="2" t="s">
        <v>303</v>
      </c>
    </row>
    <row r="50" spans="1:4" x14ac:dyDescent="0.2">
      <c r="A50" s="43" t="s">
        <v>183</v>
      </c>
      <c r="B50" s="45">
        <f>'3 Node Calculations'!$G$11*'2 Steam Properties'!$B$14/'3 Node Calculations'!$G$9</f>
        <v>7099.0744056253725</v>
      </c>
      <c r="C50" s="2" t="s">
        <v>7</v>
      </c>
      <c r="D50" s="2" t="s">
        <v>184</v>
      </c>
    </row>
    <row r="51" spans="1:4" x14ac:dyDescent="0.2">
      <c r="A51" s="43" t="s">
        <v>185</v>
      </c>
      <c r="B51" s="46">
        <f>'1 Inputs'!$B$16*100000</f>
        <v>600000</v>
      </c>
      <c r="C51" s="2" t="s">
        <v>186</v>
      </c>
      <c r="D51" s="2" t="s">
        <v>187</v>
      </c>
    </row>
    <row r="52" spans="1:4" x14ac:dyDescent="0.2">
      <c r="A52" s="43" t="s">
        <v>304</v>
      </c>
      <c r="B52" s="45">
        <f>'1 Inputs'!$B$20*SQRT($B$46*$B$51*$B$47*(2/($B$46+1))^(($B$46+1)/($B$46-1)))</f>
        <v>744.91645996955822</v>
      </c>
      <c r="C52" s="2" t="s">
        <v>188</v>
      </c>
      <c r="D52" s="2" t="s">
        <v>305</v>
      </c>
    </row>
    <row r="53" spans="1:4" x14ac:dyDescent="0.2">
      <c r="A53" s="43" t="s">
        <v>189</v>
      </c>
      <c r="B53" s="45">
        <f>$B$52*'3 Node Calculations'!$G$9*3600</f>
        <v>52.655041759015781</v>
      </c>
      <c r="C53" s="2" t="s">
        <v>22</v>
      </c>
      <c r="D53" s="2" t="s">
        <v>306</v>
      </c>
    </row>
    <row r="54" spans="1:4" x14ac:dyDescent="0.2">
      <c r="A54" s="43" t="s">
        <v>190</v>
      </c>
      <c r="B54" s="45">
        <f>'1 Inputs'!$B$17</f>
        <v>1590</v>
      </c>
      <c r="C54" s="2" t="s">
        <v>22</v>
      </c>
      <c r="D54" s="2" t="s">
        <v>191</v>
      </c>
    </row>
    <row r="55" spans="1:4" x14ac:dyDescent="0.2">
      <c r="A55" s="43" t="s">
        <v>192</v>
      </c>
      <c r="B55" s="47" t="str">
        <f>IF($B$53&gt;=$B$54,"OK","CHOKED ")</f>
        <v xml:space="preserve">CHOKED </v>
      </c>
      <c r="C55" s="2" t="s">
        <v>42</v>
      </c>
      <c r="D55" s="2" t="s">
        <v>193</v>
      </c>
    </row>
    <row r="56" spans="1:4" x14ac:dyDescent="0.2">
      <c r="A56" s="43" t="s">
        <v>194</v>
      </c>
      <c r="B56" s="47">
        <f>$B$53/$B$54</f>
        <v>3.3116378464789799E-2</v>
      </c>
      <c r="C56" s="2" t="s">
        <v>42</v>
      </c>
      <c r="D56" s="2" t="s">
        <v>195</v>
      </c>
    </row>
    <row r="57" spans="1:4" x14ac:dyDescent="0.2">
      <c r="A57" s="43" t="s">
        <v>196</v>
      </c>
      <c r="B57" s="45">
        <f>IF($B$53&gt;=$B$54,$B$6,('3 Node Calculations'!$G$13+($B$53/3600)*'2 Steam Properties'!$B$13)/(('3 Node Calculations'!$G$10+$B$53/3600)*'1 Inputs'!$B$10))</f>
        <v>8.4209339799674421</v>
      </c>
      <c r="C57" s="2" t="s">
        <v>10</v>
      </c>
      <c r="D57" s="2" t="s">
        <v>197</v>
      </c>
    </row>
    <row r="58" spans="1:4" x14ac:dyDescent="0.2">
      <c r="A58" s="43" t="s">
        <v>198</v>
      </c>
      <c r="B58" s="48">
        <f>SQRT(4*($B$54/3600)/(PI()*$B$52))*1000</f>
        <v>27.475688609093233</v>
      </c>
      <c r="C58" s="2" t="s">
        <v>199</v>
      </c>
      <c r="D58" s="2" t="s">
        <v>200</v>
      </c>
    </row>
    <row r="59" spans="1:4" x14ac:dyDescent="0.2">
      <c r="A59" s="43" t="s">
        <v>201</v>
      </c>
      <c r="B59" s="45">
        <f>'1 Inputs'!$B$16*$B$54/$B$53</f>
        <v>181.17923149052535</v>
      </c>
      <c r="C59" s="2" t="s">
        <v>26</v>
      </c>
      <c r="D59" s="2" t="s">
        <v>202</v>
      </c>
    </row>
    <row r="60" spans="1:4" x14ac:dyDescent="0.2">
      <c r="A60" s="43" t="s">
        <v>309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showGridLines="0" zoomScale="150" zoomScaleNormal="100" workbookViewId="0">
      <selection activeCell="D5" sqref="D5"/>
    </sheetView>
  </sheetViews>
  <sheetFormatPr baseColWidth="10" defaultColWidth="8.6640625" defaultRowHeight="15" x14ac:dyDescent="0.2"/>
  <cols>
    <col min="1" max="1" width="50" style="2" customWidth="1"/>
    <col min="2" max="2" width="13" style="2" customWidth="1"/>
    <col min="3" max="3" width="11" style="2" customWidth="1"/>
    <col min="4" max="4" width="60" style="2" customWidth="1"/>
    <col min="5" max="5" width="8.6640625" style="2" customWidth="1"/>
    <col min="6" max="16384" width="8.6640625" style="2"/>
  </cols>
  <sheetData>
    <row r="1" spans="1:4" ht="16" customHeight="1" x14ac:dyDescent="0.2">
      <c r="A1" s="1" t="s">
        <v>203</v>
      </c>
      <c r="C1" s="3"/>
      <c r="D1" s="4"/>
    </row>
    <row r="2" spans="1:4" x14ac:dyDescent="0.2">
      <c r="A2" s="5"/>
      <c r="C2" s="3"/>
      <c r="D2" s="4"/>
    </row>
    <row r="3" spans="1:4" x14ac:dyDescent="0.2">
      <c r="C3" s="3"/>
      <c r="D3" s="4"/>
    </row>
    <row r="4" spans="1:4" ht="15.75" customHeight="1" x14ac:dyDescent="0.2">
      <c r="A4" s="7" t="s">
        <v>204</v>
      </c>
    </row>
    <row r="5" spans="1:4" ht="37.5" customHeight="1" x14ac:dyDescent="0.2">
      <c r="A5" s="19" t="s">
        <v>205</v>
      </c>
      <c r="B5" s="13">
        <v>72</v>
      </c>
      <c r="C5" s="4" t="s">
        <v>10</v>
      </c>
      <c r="D5" s="11"/>
    </row>
    <row r="7" spans="1:4" ht="15.75" customHeight="1" x14ac:dyDescent="0.2">
      <c r="A7" s="7" t="s">
        <v>206</v>
      </c>
    </row>
    <row r="8" spans="1:4" x14ac:dyDescent="0.2">
      <c r="A8" s="8" t="s">
        <v>134</v>
      </c>
      <c r="B8" s="8" t="s">
        <v>3</v>
      </c>
      <c r="C8" s="8" t="s">
        <v>4</v>
      </c>
      <c r="D8" s="8" t="s">
        <v>135</v>
      </c>
    </row>
    <row r="9" spans="1:4" ht="25.5" customHeight="1" x14ac:dyDescent="0.2">
      <c r="A9" s="9" t="s">
        <v>207</v>
      </c>
      <c r="B9" s="21">
        <f>'3 Node Calculations'!$G$10*'1 Inputs'!$B$10*('5 Steam Sizing'!$B$5-'1 Inputs'!$B$8)/('2 Steam Properties'!$B$13-'1 Inputs'!$B$10*'5 Steam Sizing'!$B$5)</f>
        <v>0.4419806001178011</v>
      </c>
      <c r="C9" s="4" t="s">
        <v>105</v>
      </c>
      <c r="D9" s="11" t="s">
        <v>208</v>
      </c>
    </row>
    <row r="10" spans="1:4" ht="25.5" customHeight="1" x14ac:dyDescent="0.2">
      <c r="A10" s="9" t="s">
        <v>207</v>
      </c>
      <c r="B10" s="16">
        <f>'3 Node Calculations'!$G$10*'1 Inputs'!$B$10*('5 Steam Sizing'!$B$5-'1 Inputs'!$B$8)/('2 Steam Properties'!$B$13-'1 Inputs'!$B$10*'5 Steam Sizing'!$B$5)*3600</f>
        <v>1591.1301604240839</v>
      </c>
      <c r="C10" s="4" t="s">
        <v>22</v>
      </c>
      <c r="D10" s="11" t="s">
        <v>209</v>
      </c>
    </row>
    <row r="11" spans="1:4" x14ac:dyDescent="0.2">
      <c r="A11" s="9" t="s">
        <v>210</v>
      </c>
      <c r="B11" s="22">
        <f>'1 Inputs'!$B$10*('5 Steam Sizing'!$B$5-'1 Inputs'!$B$8)/('2 Steam Properties'!$B$13-'1 Inputs'!$B$10*'5 Steam Sizing'!$B$5)</f>
        <v>0.1125494356151526</v>
      </c>
      <c r="C11" s="4" t="s">
        <v>13</v>
      </c>
      <c r="D11" s="11" t="s">
        <v>211</v>
      </c>
    </row>
    <row r="12" spans="1:4" x14ac:dyDescent="0.2">
      <c r="A12" s="9" t="s">
        <v>212</v>
      </c>
      <c r="B12" s="16">
        <f>('3 Node Calculations'!$G$10+'3 Node Calculations'!$G$10*'1 Inputs'!$B$10*('5 Steam Sizing'!$B$5-'1 Inputs'!$B$8)/('2 Steam Properties'!$B$13-'1 Inputs'!$B$10*'5 Steam Sizing'!$B$5))*3600</f>
        <v>15728.297101578155</v>
      </c>
      <c r="C12" s="4" t="s">
        <v>22</v>
      </c>
      <c r="D12" s="11" t="s">
        <v>213</v>
      </c>
    </row>
    <row r="13" spans="1:4" x14ac:dyDescent="0.2">
      <c r="A13" s="9" t="s">
        <v>214</v>
      </c>
      <c r="B13" s="22">
        <f>'3 Node Calculations'!$G$12/('3 Node Calculations'!$G$10+'3 Node Calculations'!$G$10*'1 Inputs'!$B$10*('5 Steam Sizing'!$B$5-'1 Inputs'!$B$8)/('2 Steam Properties'!$B$13-'1 Inputs'!$B$10*'5 Steam Sizing'!$B$5))</f>
        <v>0.10786037560088231</v>
      </c>
      <c r="C13" s="4" t="s">
        <v>13</v>
      </c>
      <c r="D13" s="11" t="s">
        <v>215</v>
      </c>
    </row>
    <row r="14" spans="1:4" ht="25.5" customHeight="1" x14ac:dyDescent="0.2">
      <c r="A14" s="9" t="s">
        <v>216</v>
      </c>
      <c r="B14" s="16">
        <f>('3 Node Calculations'!$G$10+'3 Node Calculations'!$G$10*'1 Inputs'!$B$10*('5 Steam Sizing'!$B$5-'1 Inputs'!$B$8)/('2 Steam Properties'!$B$13-'1 Inputs'!$B$10*'5 Steam Sizing'!$B$5))*3600-'3 Node Calculations'!$G$12/'1 Inputs'!$B$30*3600</f>
        <v>1591.1301604240853</v>
      </c>
      <c r="C14" s="4" t="s">
        <v>22</v>
      </c>
      <c r="D14" s="11" t="s">
        <v>217</v>
      </c>
    </row>
    <row r="15" spans="1:4" ht="25.5" customHeight="1" x14ac:dyDescent="0.2">
      <c r="A15" s="9" t="s">
        <v>218</v>
      </c>
      <c r="B15" s="23">
        <f>'3 Node Calculations'!$G$10*'1 Inputs'!$B$10*('5 Steam Sizing'!$B$5-'1 Inputs'!$B$8)/('2 Steam Properties'!$B$13-'1 Inputs'!$B$10*'5 Steam Sizing'!$B$5)*'2 Steam Properties'!$B$14/'3 Node Calculations'!$G$9</f>
        <v>7104.1203760284334</v>
      </c>
      <c r="C15" s="4" t="s">
        <v>7</v>
      </c>
      <c r="D15" s="11" t="s">
        <v>219</v>
      </c>
    </row>
    <row r="17" spans="1:4" ht="15.75" customHeight="1" x14ac:dyDescent="0.2">
      <c r="A17" s="7" t="s">
        <v>220</v>
      </c>
    </row>
    <row r="18" spans="1:4" x14ac:dyDescent="0.2">
      <c r="A18" s="8" t="s">
        <v>134</v>
      </c>
      <c r="B18" s="8" t="s">
        <v>3</v>
      </c>
      <c r="C18" s="8" t="s">
        <v>4</v>
      </c>
      <c r="D18" s="8" t="s">
        <v>135</v>
      </c>
    </row>
    <row r="19" spans="1:4" x14ac:dyDescent="0.2">
      <c r="A19" s="9" t="s">
        <v>221</v>
      </c>
      <c r="B19" s="24" t="str">
        <f>IF('5 Steam Sizing'!$B$5&gt;'1 Inputs'!$B$8,"OK","TARGET BELOW INLET — no heating needed")</f>
        <v>OK</v>
      </c>
      <c r="C19" s="4" t="s">
        <v>42</v>
      </c>
      <c r="D19" s="11" t="s">
        <v>222</v>
      </c>
    </row>
    <row r="20" spans="1:4" ht="37.5" customHeight="1" x14ac:dyDescent="0.2">
      <c r="A20" s="9" t="s">
        <v>223</v>
      </c>
      <c r="B20" s="24" t="str">
        <f>IF('5 Steam Sizing'!$B$5&lt;'2 Steam Properties'!$B$10,"OK","INFEASIBLE — mixture cannot exceed the steam saturation temperature; raise steam pressure")</f>
        <v>OK</v>
      </c>
      <c r="C20" s="4" t="s">
        <v>42</v>
      </c>
      <c r="D20" s="11" t="s">
        <v>224</v>
      </c>
    </row>
    <row r="21" spans="1:4" x14ac:dyDescent="0.2">
      <c r="A21" s="9" t="s">
        <v>225</v>
      </c>
      <c r="B21" s="50" t="str">
        <f>IF($B$10&lt;='4 Results'!$B$53,"OK","CHOKED: enlarge the bore, add orifices or raise the pressure")</f>
        <v>CHOKED: enlarge the bore, add orifices or raise the pressure</v>
      </c>
      <c r="C21" s="4" t="s">
        <v>42</v>
      </c>
      <c r="D21" s="11" t="s">
        <v>307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3"/>
  <sheetViews>
    <sheetView showGridLines="0" topLeftCell="A38" zoomScale="133" zoomScaleNormal="100" workbookViewId="0">
      <selection activeCell="D16" sqref="D16"/>
    </sheetView>
  </sheetViews>
  <sheetFormatPr baseColWidth="10" defaultColWidth="8.6640625" defaultRowHeight="15" x14ac:dyDescent="0.2"/>
  <cols>
    <col min="1" max="1" width="132" style="2" customWidth="1"/>
    <col min="2" max="2" width="8.6640625" style="2" customWidth="1"/>
    <col min="3" max="16384" width="8.6640625" style="2"/>
  </cols>
  <sheetData>
    <row r="1" spans="1:1" ht="16" customHeight="1" x14ac:dyDescent="0.2">
      <c r="A1" s="1" t="s">
        <v>226</v>
      </c>
    </row>
    <row r="2" spans="1:1" x14ac:dyDescent="0.2">
      <c r="A2" s="19"/>
    </row>
    <row r="3" spans="1:1" x14ac:dyDescent="0.2">
      <c r="A3" s="8" t="s">
        <v>227</v>
      </c>
    </row>
    <row r="4" spans="1:1" x14ac:dyDescent="0.2">
      <c r="A4" s="19" t="s">
        <v>228</v>
      </c>
    </row>
    <row r="5" spans="1:1" x14ac:dyDescent="0.2">
      <c r="A5" s="19" t="s">
        <v>229</v>
      </c>
    </row>
    <row r="6" spans="1:1" x14ac:dyDescent="0.2">
      <c r="A6" s="19" t="s">
        <v>230</v>
      </c>
    </row>
    <row r="7" spans="1:1" x14ac:dyDescent="0.2">
      <c r="A7" s="19" t="s">
        <v>231</v>
      </c>
    </row>
    <row r="8" spans="1:1" x14ac:dyDescent="0.2">
      <c r="A8" s="19" t="s">
        <v>232</v>
      </c>
    </row>
    <row r="9" spans="1:1" x14ac:dyDescent="0.2">
      <c r="A9" s="19" t="s">
        <v>233</v>
      </c>
    </row>
    <row r="10" spans="1:1" x14ac:dyDescent="0.2">
      <c r="A10" s="19" t="s">
        <v>234</v>
      </c>
    </row>
    <row r="11" spans="1:1" x14ac:dyDescent="0.2">
      <c r="A11" s="19" t="s">
        <v>235</v>
      </c>
    </row>
    <row r="12" spans="1:1" x14ac:dyDescent="0.2">
      <c r="A12" s="19" t="s">
        <v>236</v>
      </c>
    </row>
    <row r="14" spans="1:1" x14ac:dyDescent="0.2">
      <c r="A14" s="8" t="s">
        <v>237</v>
      </c>
    </row>
    <row r="15" spans="1:1" x14ac:dyDescent="0.2">
      <c r="A15" s="19" t="s">
        <v>238</v>
      </c>
    </row>
    <row r="16" spans="1:1" x14ac:dyDescent="0.2">
      <c r="A16" s="19" t="s">
        <v>239</v>
      </c>
    </row>
    <row r="17" spans="1:1" x14ac:dyDescent="0.2">
      <c r="A17" s="19" t="s">
        <v>240</v>
      </c>
    </row>
    <row r="18" spans="1:1" x14ac:dyDescent="0.2">
      <c r="A18" s="19"/>
    </row>
    <row r="19" spans="1:1" x14ac:dyDescent="0.2">
      <c r="A19" s="8" t="s">
        <v>241</v>
      </c>
    </row>
    <row r="20" spans="1:1" x14ac:dyDescent="0.2">
      <c r="A20" s="19" t="s">
        <v>242</v>
      </c>
    </row>
    <row r="21" spans="1:1" x14ac:dyDescent="0.2">
      <c r="A21" s="19" t="s">
        <v>243</v>
      </c>
    </row>
    <row r="22" spans="1:1" x14ac:dyDescent="0.2">
      <c r="A22" s="19" t="s">
        <v>244</v>
      </c>
    </row>
    <row r="23" spans="1:1" x14ac:dyDescent="0.2">
      <c r="A23" s="19"/>
    </row>
    <row r="24" spans="1:1" x14ac:dyDescent="0.2">
      <c r="A24" s="8" t="s">
        <v>245</v>
      </c>
    </row>
    <row r="25" spans="1:1" x14ac:dyDescent="0.2">
      <c r="A25" s="8" t="s">
        <v>246</v>
      </c>
    </row>
    <row r="26" spans="1:1" x14ac:dyDescent="0.2">
      <c r="A26" s="8" t="s">
        <v>247</v>
      </c>
    </row>
    <row r="27" spans="1:1" x14ac:dyDescent="0.2">
      <c r="A27" s="8" t="s">
        <v>248</v>
      </c>
    </row>
    <row r="28" spans="1:1" x14ac:dyDescent="0.2">
      <c r="A28" s="19" t="s">
        <v>249</v>
      </c>
    </row>
    <row r="29" spans="1:1" x14ac:dyDescent="0.2">
      <c r="A29" s="19" t="s">
        <v>250</v>
      </c>
    </row>
    <row r="30" spans="1:1" x14ac:dyDescent="0.2">
      <c r="A30" s="19" t="s">
        <v>251</v>
      </c>
    </row>
    <row r="31" spans="1:1" x14ac:dyDescent="0.2">
      <c r="A31" s="8" t="s">
        <v>252</v>
      </c>
    </row>
    <row r="32" spans="1:1" x14ac:dyDescent="0.2">
      <c r="A32" s="19" t="s">
        <v>253</v>
      </c>
    </row>
    <row r="33" spans="1:1" x14ac:dyDescent="0.2">
      <c r="A33" s="19"/>
    </row>
    <row r="34" spans="1:1" x14ac:dyDescent="0.2">
      <c r="A34" s="8" t="s">
        <v>254</v>
      </c>
    </row>
    <row r="35" spans="1:1" x14ac:dyDescent="0.2">
      <c r="A35" s="19" t="s">
        <v>255</v>
      </c>
    </row>
    <row r="36" spans="1:1" x14ac:dyDescent="0.2">
      <c r="A36" s="8" t="s">
        <v>256</v>
      </c>
    </row>
    <row r="37" spans="1:1" x14ac:dyDescent="0.2">
      <c r="A37" s="19" t="s">
        <v>257</v>
      </c>
    </row>
    <row r="38" spans="1:1" x14ac:dyDescent="0.2">
      <c r="A38" s="19" t="s">
        <v>258</v>
      </c>
    </row>
    <row r="39" spans="1:1" x14ac:dyDescent="0.2">
      <c r="A39" s="19" t="s">
        <v>259</v>
      </c>
    </row>
    <row r="40" spans="1:1" x14ac:dyDescent="0.2">
      <c r="A40" s="19"/>
    </row>
    <row r="41" spans="1:1" x14ac:dyDescent="0.2">
      <c r="A41" s="8" t="s">
        <v>260</v>
      </c>
    </row>
    <row r="42" spans="1:1" x14ac:dyDescent="0.2">
      <c r="A42" s="19" t="s">
        <v>261</v>
      </c>
    </row>
    <row r="43" spans="1:1" x14ac:dyDescent="0.2">
      <c r="A43" s="19" t="s">
        <v>262</v>
      </c>
    </row>
    <row r="44" spans="1:1" x14ac:dyDescent="0.2">
      <c r="A44" s="19" t="s">
        <v>263</v>
      </c>
    </row>
    <row r="45" spans="1:1" x14ac:dyDescent="0.2">
      <c r="A45" s="19" t="s">
        <v>264</v>
      </c>
    </row>
    <row r="46" spans="1:1" x14ac:dyDescent="0.2">
      <c r="A46" s="19"/>
    </row>
    <row r="47" spans="1:1" x14ac:dyDescent="0.2">
      <c r="A47" s="8" t="s">
        <v>265</v>
      </c>
    </row>
    <row r="48" spans="1:1" x14ac:dyDescent="0.2">
      <c r="A48" s="19" t="s">
        <v>266</v>
      </c>
    </row>
    <row r="49" spans="1:1" x14ac:dyDescent="0.2">
      <c r="A49" s="19" t="s">
        <v>308</v>
      </c>
    </row>
    <row r="50" spans="1:1" x14ac:dyDescent="0.2">
      <c r="A50" s="19" t="s">
        <v>267</v>
      </c>
    </row>
    <row r="51" spans="1:1" x14ac:dyDescent="0.2">
      <c r="A51" s="19" t="s">
        <v>268</v>
      </c>
    </row>
    <row r="52" spans="1:1" x14ac:dyDescent="0.2">
      <c r="A52" s="19"/>
    </row>
    <row r="53" spans="1:1" x14ac:dyDescent="0.2">
      <c r="A53" s="8" t="s">
        <v>269</v>
      </c>
    </row>
    <row r="54" spans="1:1" x14ac:dyDescent="0.2">
      <c r="A54" s="19" t="s">
        <v>270</v>
      </c>
    </row>
    <row r="55" spans="1:1" x14ac:dyDescent="0.2">
      <c r="A55" s="19" t="s">
        <v>271</v>
      </c>
    </row>
    <row r="56" spans="1:1" x14ac:dyDescent="0.2">
      <c r="A56" s="19" t="s">
        <v>272</v>
      </c>
    </row>
    <row r="57" spans="1:1" x14ac:dyDescent="0.2">
      <c r="A57" s="19" t="s">
        <v>273</v>
      </c>
    </row>
    <row r="68" spans="1:1" x14ac:dyDescent="0.2">
      <c r="A68" s="19"/>
    </row>
    <row r="69" spans="1:1" x14ac:dyDescent="0.2">
      <c r="A69" s="8" t="s">
        <v>274</v>
      </c>
    </row>
    <row r="70" spans="1:1" x14ac:dyDescent="0.2">
      <c r="A70" s="19" t="s">
        <v>275</v>
      </c>
    </row>
    <row r="71" spans="1:1" x14ac:dyDescent="0.2">
      <c r="A71" s="19"/>
    </row>
    <row r="72" spans="1:1" x14ac:dyDescent="0.2">
      <c r="A72" s="8" t="s">
        <v>276</v>
      </c>
    </row>
    <row r="73" spans="1:1" x14ac:dyDescent="0.2">
      <c r="A73" s="19" t="s">
        <v>277</v>
      </c>
    </row>
    <row r="74" spans="1:1" x14ac:dyDescent="0.2">
      <c r="A74" s="19" t="s">
        <v>278</v>
      </c>
    </row>
    <row r="75" spans="1:1" x14ac:dyDescent="0.2">
      <c r="A75" s="19" t="s">
        <v>279</v>
      </c>
    </row>
    <row r="76" spans="1:1" x14ac:dyDescent="0.2">
      <c r="A76" s="19" t="s">
        <v>280</v>
      </c>
    </row>
    <row r="77" spans="1:1" x14ac:dyDescent="0.2">
      <c r="A77" s="19" t="s">
        <v>281</v>
      </c>
    </row>
    <row r="78" spans="1:1" x14ac:dyDescent="0.2">
      <c r="A78" s="19"/>
    </row>
    <row r="79" spans="1:1" x14ac:dyDescent="0.2">
      <c r="A79" s="8" t="s">
        <v>282</v>
      </c>
    </row>
    <row r="80" spans="1:1" x14ac:dyDescent="0.2">
      <c r="A80" s="19" t="s">
        <v>283</v>
      </c>
    </row>
    <row r="81" spans="1:1" x14ac:dyDescent="0.2">
      <c r="A81" s="19" t="s">
        <v>284</v>
      </c>
    </row>
    <row r="82" spans="1:1" x14ac:dyDescent="0.2">
      <c r="A82" s="19" t="s">
        <v>285</v>
      </c>
    </row>
    <row r="83" spans="1:1" x14ac:dyDescent="0.2">
      <c r="A83" s="19"/>
    </row>
    <row r="84" spans="1:1" x14ac:dyDescent="0.2">
      <c r="A84" s="8" t="s">
        <v>286</v>
      </c>
    </row>
    <row r="85" spans="1:1" x14ac:dyDescent="0.2">
      <c r="A85" s="19" t="s">
        <v>287</v>
      </c>
    </row>
    <row r="86" spans="1:1" x14ac:dyDescent="0.2">
      <c r="A86" s="19" t="s">
        <v>288</v>
      </c>
    </row>
    <row r="87" spans="1:1" x14ac:dyDescent="0.2">
      <c r="A87" s="19" t="s">
        <v>289</v>
      </c>
    </row>
    <row r="88" spans="1:1" x14ac:dyDescent="0.2">
      <c r="A88" s="19" t="s">
        <v>290</v>
      </c>
    </row>
    <row r="89" spans="1:1" x14ac:dyDescent="0.2">
      <c r="A89" s="19"/>
    </row>
    <row r="90" spans="1:1" x14ac:dyDescent="0.2">
      <c r="A90" s="8" t="s">
        <v>291</v>
      </c>
    </row>
    <row r="91" spans="1:1" x14ac:dyDescent="0.2">
      <c r="A91" s="19" t="s">
        <v>292</v>
      </c>
    </row>
    <row r="92" spans="1:1" x14ac:dyDescent="0.2">
      <c r="A92" s="19" t="s">
        <v>293</v>
      </c>
    </row>
    <row r="93" spans="1:1" x14ac:dyDescent="0.2">
      <c r="A93" s="19" t="s">
        <v>294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Inputs</vt:lpstr>
      <vt:lpstr>2 Steam Properties</vt:lpstr>
      <vt:lpstr>3 Node Calculations</vt:lpstr>
      <vt:lpstr>4 Results</vt:lpstr>
      <vt:lpstr>5 Steam Sizing</vt:lpstr>
      <vt:lpstr>6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Tosh Thomas</cp:lastModifiedBy>
  <cp:revision>1</cp:revision>
  <dcterms:created xsi:type="dcterms:W3CDTF">2026-07-17T00:00:02Z</dcterms:created>
  <dcterms:modified xsi:type="dcterms:W3CDTF">2026-10-13T08:37:48Z</dcterms:modified>
  <dc:language>en-US</dc:language>
</cp:coreProperties>
</file>